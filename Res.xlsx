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Marwa Files\Research\RE 25\AI-EZ 22222222222\"/>
    </mc:Choice>
  </mc:AlternateContent>
  <xr:revisionPtr revIDLastSave="0" documentId="13_ncr:1_{CBDAF8D1-642F-4CEF-8F84-AC5D290D5A40}" xr6:coauthVersionLast="47" xr6:coauthVersionMax="47" xr10:uidLastSave="{00000000-0000-0000-0000-000000000000}"/>
  <bookViews>
    <workbookView xWindow="-98" yWindow="-98" windowWidth="20715" windowHeight="13155" activeTab="4" xr2:uid="{00000000-000D-0000-FFFF-FFFF00000000}"/>
  </bookViews>
  <sheets>
    <sheet name="GSE132903" sheetId="1" r:id="rId1"/>
    <sheet name="GSE118553" sheetId="2" r:id="rId2"/>
    <sheet name="Sheet1" sheetId="8" r:id="rId3"/>
    <sheet name="GSE48350" sheetId="3" r:id="rId4"/>
    <sheet name="GSE36980" sheetId="5" r:id="rId5"/>
    <sheet name="Sheet2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5" l="1"/>
  <c r="E28" i="5"/>
  <c r="E27" i="5"/>
  <c r="E24" i="5"/>
  <c r="E23" i="5"/>
  <c r="E22" i="5"/>
  <c r="E19" i="5"/>
  <c r="E18" i="5"/>
  <c r="E17" i="5"/>
  <c r="E14" i="5"/>
  <c r="E13" i="5"/>
  <c r="E12" i="5"/>
  <c r="E9" i="5"/>
  <c r="E8" i="5"/>
  <c r="E7" i="5"/>
  <c r="E29" i="3"/>
  <c r="E28" i="3"/>
  <c r="E27" i="3"/>
  <c r="E24" i="3"/>
  <c r="E23" i="3"/>
  <c r="E22" i="3"/>
  <c r="E19" i="3"/>
  <c r="E18" i="3"/>
  <c r="E17" i="3"/>
  <c r="E14" i="3"/>
  <c r="E13" i="3"/>
  <c r="E12" i="3"/>
  <c r="E9" i="3"/>
  <c r="E8" i="3"/>
  <c r="E7" i="3"/>
  <c r="E10" i="3" s="1"/>
  <c r="E54" i="2"/>
  <c r="E53" i="2"/>
  <c r="E52" i="2"/>
  <c r="E49" i="2"/>
  <c r="E48" i="2"/>
  <c r="E47" i="2"/>
  <c r="E44" i="2"/>
  <c r="E39" i="2"/>
  <c r="E38" i="2"/>
  <c r="E37" i="2"/>
  <c r="E29" i="2"/>
  <c r="E28" i="2"/>
  <c r="E27" i="2"/>
  <c r="E19" i="2"/>
  <c r="E18" i="2"/>
  <c r="E17" i="2"/>
  <c r="E9" i="2"/>
  <c r="E8" i="2"/>
  <c r="E7" i="2"/>
  <c r="E4" i="2"/>
  <c r="E3" i="2"/>
  <c r="E2" i="2"/>
  <c r="E39" i="1"/>
  <c r="E38" i="1"/>
  <c r="E37" i="1"/>
  <c r="E34" i="1"/>
  <c r="E32" i="1"/>
  <c r="E44" i="1"/>
  <c r="E43" i="1"/>
  <c r="E42" i="1"/>
  <c r="E49" i="1"/>
  <c r="E48" i="1"/>
  <c r="E47" i="1"/>
  <c r="E22" i="1"/>
  <c r="E19" i="1"/>
  <c r="E18" i="1"/>
  <c r="E17" i="1"/>
  <c r="E9" i="1"/>
  <c r="E8" i="1"/>
  <c r="E7" i="1"/>
  <c r="E4" i="1"/>
  <c r="E3" i="1"/>
  <c r="E2" i="1"/>
  <c r="E6" i="2"/>
  <c r="C30" i="5"/>
  <c r="C25" i="5"/>
  <c r="E25" i="3"/>
  <c r="E40" i="1"/>
  <c r="E50" i="2"/>
  <c r="E45" i="2"/>
  <c r="E46" i="2"/>
  <c r="E40" i="2"/>
  <c r="C30" i="3"/>
  <c r="C25" i="3"/>
  <c r="C55" i="1"/>
  <c r="C50" i="1"/>
  <c r="C45" i="1"/>
  <c r="C41" i="1"/>
  <c r="C40" i="1"/>
  <c r="C55" i="2"/>
  <c r="C50" i="2"/>
  <c r="C45" i="2"/>
  <c r="C40" i="2"/>
  <c r="K31" i="5"/>
  <c r="J31" i="5"/>
  <c r="I31" i="5"/>
  <c r="H31" i="5"/>
  <c r="G31" i="5"/>
  <c r="F31" i="5"/>
  <c r="E31" i="5"/>
  <c r="D31" i="5"/>
  <c r="C31" i="5"/>
  <c r="K30" i="5"/>
  <c r="J30" i="5"/>
  <c r="I30" i="5"/>
  <c r="H30" i="5"/>
  <c r="G30" i="5"/>
  <c r="F30" i="5"/>
  <c r="E30" i="5"/>
  <c r="D30" i="5"/>
  <c r="K31" i="3"/>
  <c r="J31" i="3"/>
  <c r="I31" i="3"/>
  <c r="H31" i="3"/>
  <c r="G31" i="3"/>
  <c r="F31" i="3"/>
  <c r="E31" i="3"/>
  <c r="D31" i="3"/>
  <c r="C31" i="3"/>
  <c r="K30" i="3"/>
  <c r="J30" i="3"/>
  <c r="I30" i="3"/>
  <c r="H30" i="3"/>
  <c r="G30" i="3"/>
  <c r="F30" i="3"/>
  <c r="E30" i="3"/>
  <c r="D30" i="3"/>
  <c r="K56" i="1"/>
  <c r="J56" i="1"/>
  <c r="I56" i="1"/>
  <c r="H56" i="1"/>
  <c r="G56" i="1"/>
  <c r="F56" i="1"/>
  <c r="E56" i="1"/>
  <c r="D56" i="1"/>
  <c r="C56" i="1"/>
  <c r="K55" i="1"/>
  <c r="J55" i="1"/>
  <c r="I55" i="1"/>
  <c r="H55" i="1"/>
  <c r="G55" i="1"/>
  <c r="F55" i="1"/>
  <c r="E55" i="1"/>
  <c r="D55" i="1"/>
  <c r="K51" i="1"/>
  <c r="J51" i="1"/>
  <c r="I51" i="1"/>
  <c r="H51" i="1"/>
  <c r="G51" i="1"/>
  <c r="F51" i="1"/>
  <c r="E51" i="1"/>
  <c r="D51" i="1"/>
  <c r="C51" i="1"/>
  <c r="K50" i="1"/>
  <c r="J50" i="1"/>
  <c r="I50" i="1"/>
  <c r="H50" i="1"/>
  <c r="G50" i="1"/>
  <c r="F50" i="1"/>
  <c r="E50" i="1"/>
  <c r="D50" i="1"/>
  <c r="D56" i="2"/>
  <c r="E56" i="2"/>
  <c r="F56" i="2"/>
  <c r="G56" i="2"/>
  <c r="H56" i="2"/>
  <c r="I56" i="2"/>
  <c r="J56" i="2"/>
  <c r="K56" i="2"/>
  <c r="D55" i="2"/>
  <c r="E55" i="2"/>
  <c r="F55" i="2"/>
  <c r="G55" i="2"/>
  <c r="H55" i="2"/>
  <c r="I55" i="2"/>
  <c r="J55" i="2"/>
  <c r="K55" i="2"/>
  <c r="C56" i="2"/>
  <c r="D51" i="2"/>
  <c r="E51" i="2"/>
  <c r="F51" i="2"/>
  <c r="G51" i="2"/>
  <c r="H51" i="2"/>
  <c r="I51" i="2"/>
  <c r="J51" i="2"/>
  <c r="K51" i="2"/>
  <c r="D50" i="2"/>
  <c r="F50" i="2"/>
  <c r="G50" i="2"/>
  <c r="H50" i="2"/>
  <c r="I50" i="2"/>
  <c r="J50" i="2"/>
  <c r="K50" i="2"/>
  <c r="C51" i="2"/>
  <c r="D26" i="5"/>
  <c r="E26" i="5"/>
  <c r="F26" i="5"/>
  <c r="G26" i="5"/>
  <c r="H26" i="5"/>
  <c r="I26" i="5"/>
  <c r="J26" i="5"/>
  <c r="K26" i="5"/>
  <c r="D25" i="5"/>
  <c r="E25" i="5"/>
  <c r="F25" i="5"/>
  <c r="G25" i="5"/>
  <c r="H25" i="5"/>
  <c r="I25" i="5"/>
  <c r="J25" i="5"/>
  <c r="K25" i="5"/>
  <c r="C26" i="5"/>
  <c r="D26" i="3"/>
  <c r="F26" i="3"/>
  <c r="G26" i="3"/>
  <c r="H26" i="3"/>
  <c r="I26" i="3"/>
  <c r="J26" i="3"/>
  <c r="K26" i="3"/>
  <c r="D25" i="3"/>
  <c r="F25" i="3"/>
  <c r="G25" i="3"/>
  <c r="H25" i="3"/>
  <c r="I25" i="3"/>
  <c r="J25" i="3"/>
  <c r="K25" i="3"/>
  <c r="C26" i="3"/>
  <c r="K46" i="1"/>
  <c r="J46" i="1"/>
  <c r="I46" i="1"/>
  <c r="H46" i="1"/>
  <c r="G46" i="1"/>
  <c r="F46" i="1"/>
  <c r="E46" i="1"/>
  <c r="D46" i="1"/>
  <c r="C46" i="1"/>
  <c r="K45" i="1"/>
  <c r="J45" i="1"/>
  <c r="I45" i="1"/>
  <c r="H45" i="1"/>
  <c r="G45" i="1"/>
  <c r="F45" i="1"/>
  <c r="E45" i="1"/>
  <c r="D45" i="1"/>
  <c r="K41" i="1"/>
  <c r="J41" i="1"/>
  <c r="I41" i="1"/>
  <c r="H41" i="1"/>
  <c r="G41" i="1"/>
  <c r="F41" i="1"/>
  <c r="D41" i="1"/>
  <c r="K40" i="1"/>
  <c r="J40" i="1"/>
  <c r="I40" i="1"/>
  <c r="H40" i="1"/>
  <c r="G40" i="1"/>
  <c r="F40" i="1"/>
  <c r="D40" i="1"/>
  <c r="D46" i="2"/>
  <c r="F46" i="2"/>
  <c r="G46" i="2"/>
  <c r="H46" i="2"/>
  <c r="I46" i="2"/>
  <c r="J46" i="2"/>
  <c r="K46" i="2"/>
  <c r="D45" i="2"/>
  <c r="F45" i="2"/>
  <c r="G45" i="2"/>
  <c r="H45" i="2"/>
  <c r="I45" i="2"/>
  <c r="J45" i="2"/>
  <c r="K45" i="2"/>
  <c r="C46" i="2"/>
  <c r="D41" i="2"/>
  <c r="E41" i="2"/>
  <c r="F41" i="2"/>
  <c r="G41" i="2"/>
  <c r="H41" i="2"/>
  <c r="I41" i="2"/>
  <c r="J41" i="2"/>
  <c r="K41" i="2"/>
  <c r="D40" i="2"/>
  <c r="F40" i="2"/>
  <c r="G40" i="2"/>
  <c r="H40" i="2"/>
  <c r="I40" i="2"/>
  <c r="J40" i="2"/>
  <c r="K40" i="2"/>
  <c r="C41" i="2"/>
  <c r="E5" i="2"/>
  <c r="E6" i="1"/>
  <c r="E5" i="1"/>
  <c r="S10" i="1"/>
  <c r="S36" i="1"/>
  <c r="S35" i="1"/>
  <c r="S31" i="1"/>
  <c r="S30" i="1"/>
  <c r="S26" i="1"/>
  <c r="S25" i="1"/>
  <c r="S21" i="1"/>
  <c r="S20" i="1"/>
  <c r="S16" i="1"/>
  <c r="S15" i="1"/>
  <c r="S11" i="1"/>
  <c r="S6" i="1"/>
  <c r="S5" i="1"/>
  <c r="Q36" i="1"/>
  <c r="Q35" i="1"/>
  <c r="Q31" i="1"/>
  <c r="Q30" i="1"/>
  <c r="Q26" i="1"/>
  <c r="Q25" i="1"/>
  <c r="Q21" i="1"/>
  <c r="Q20" i="1"/>
  <c r="Q16" i="1"/>
  <c r="Q15" i="1"/>
  <c r="Q11" i="1"/>
  <c r="Q10" i="1"/>
  <c r="Q6" i="1"/>
  <c r="Q5" i="1"/>
  <c r="K21" i="5"/>
  <c r="J21" i="5"/>
  <c r="I21" i="5"/>
  <c r="H21" i="5"/>
  <c r="G21" i="5"/>
  <c r="F21" i="5"/>
  <c r="E21" i="5"/>
  <c r="D21" i="5"/>
  <c r="C21" i="5"/>
  <c r="K20" i="5"/>
  <c r="J20" i="5"/>
  <c r="I20" i="5"/>
  <c r="H20" i="5"/>
  <c r="G20" i="5"/>
  <c r="F20" i="5"/>
  <c r="E20" i="5"/>
  <c r="D20" i="5"/>
  <c r="C20" i="5"/>
  <c r="K16" i="5"/>
  <c r="J16" i="5"/>
  <c r="I16" i="5"/>
  <c r="H16" i="5"/>
  <c r="G16" i="5"/>
  <c r="F16" i="5"/>
  <c r="E16" i="5"/>
  <c r="D16" i="5"/>
  <c r="C16" i="5"/>
  <c r="K15" i="5"/>
  <c r="J15" i="5"/>
  <c r="I15" i="5"/>
  <c r="H15" i="5"/>
  <c r="G15" i="5"/>
  <c r="F15" i="5"/>
  <c r="E15" i="5"/>
  <c r="D15" i="5"/>
  <c r="C15" i="5"/>
  <c r="K11" i="5"/>
  <c r="J11" i="5"/>
  <c r="I11" i="5"/>
  <c r="H11" i="5"/>
  <c r="G11" i="5"/>
  <c r="F11" i="5"/>
  <c r="E11" i="5"/>
  <c r="D11" i="5"/>
  <c r="C11" i="5"/>
  <c r="K10" i="5"/>
  <c r="J10" i="5"/>
  <c r="I10" i="5"/>
  <c r="H10" i="5"/>
  <c r="G10" i="5"/>
  <c r="F10" i="5"/>
  <c r="E10" i="5"/>
  <c r="D10" i="5"/>
  <c r="C10" i="5"/>
  <c r="K6" i="5"/>
  <c r="J6" i="5"/>
  <c r="I6" i="5"/>
  <c r="H6" i="5"/>
  <c r="G6" i="5"/>
  <c r="F6" i="5"/>
  <c r="E6" i="5"/>
  <c r="D6" i="5"/>
  <c r="C6" i="5"/>
  <c r="K5" i="5"/>
  <c r="J5" i="5"/>
  <c r="I5" i="5"/>
  <c r="H5" i="5"/>
  <c r="G5" i="5"/>
  <c r="F5" i="5"/>
  <c r="E5" i="5"/>
  <c r="D5" i="5"/>
  <c r="C5" i="5"/>
  <c r="K21" i="3"/>
  <c r="J21" i="3"/>
  <c r="I21" i="3"/>
  <c r="H21" i="3"/>
  <c r="G21" i="3"/>
  <c r="F21" i="3"/>
  <c r="E21" i="3"/>
  <c r="D21" i="3"/>
  <c r="C21" i="3"/>
  <c r="K20" i="3"/>
  <c r="J20" i="3"/>
  <c r="I20" i="3"/>
  <c r="H20" i="3"/>
  <c r="G20" i="3"/>
  <c r="F20" i="3"/>
  <c r="E20" i="3"/>
  <c r="D20" i="3"/>
  <c r="C20" i="3"/>
  <c r="K16" i="3"/>
  <c r="J16" i="3"/>
  <c r="I16" i="3"/>
  <c r="H16" i="3"/>
  <c r="G16" i="3"/>
  <c r="F16" i="3"/>
  <c r="E16" i="3"/>
  <c r="D16" i="3"/>
  <c r="C16" i="3"/>
  <c r="K15" i="3"/>
  <c r="J15" i="3"/>
  <c r="I15" i="3"/>
  <c r="H15" i="3"/>
  <c r="G15" i="3"/>
  <c r="F15" i="3"/>
  <c r="E15" i="3"/>
  <c r="D15" i="3"/>
  <c r="C15" i="3"/>
  <c r="K11" i="3"/>
  <c r="J11" i="3"/>
  <c r="I11" i="3"/>
  <c r="H11" i="3"/>
  <c r="G11" i="3"/>
  <c r="F11" i="3"/>
  <c r="D11" i="3"/>
  <c r="C11" i="3"/>
  <c r="K10" i="3"/>
  <c r="J10" i="3"/>
  <c r="I10" i="3"/>
  <c r="H10" i="3"/>
  <c r="G10" i="3"/>
  <c r="F10" i="3"/>
  <c r="D10" i="3"/>
  <c r="C10" i="3"/>
  <c r="K6" i="3"/>
  <c r="J6" i="3"/>
  <c r="I6" i="3"/>
  <c r="H6" i="3"/>
  <c r="G6" i="3"/>
  <c r="F6" i="3"/>
  <c r="E6" i="3"/>
  <c r="D6" i="3"/>
  <c r="C6" i="3"/>
  <c r="K5" i="3"/>
  <c r="J5" i="3"/>
  <c r="I5" i="3"/>
  <c r="H5" i="3"/>
  <c r="G5" i="3"/>
  <c r="F5" i="3"/>
  <c r="E5" i="3"/>
  <c r="D5" i="3"/>
  <c r="C5" i="3"/>
  <c r="K36" i="2"/>
  <c r="J36" i="2"/>
  <c r="I36" i="2"/>
  <c r="H36" i="2"/>
  <c r="G36" i="2"/>
  <c r="F36" i="2"/>
  <c r="E36" i="2"/>
  <c r="D36" i="2"/>
  <c r="C36" i="2"/>
  <c r="K35" i="2"/>
  <c r="J35" i="2"/>
  <c r="I35" i="2"/>
  <c r="H35" i="2"/>
  <c r="G35" i="2"/>
  <c r="F35" i="2"/>
  <c r="E35" i="2"/>
  <c r="D35" i="2"/>
  <c r="C35" i="2"/>
  <c r="K31" i="2"/>
  <c r="J31" i="2"/>
  <c r="I31" i="2"/>
  <c r="H31" i="2"/>
  <c r="G31" i="2"/>
  <c r="F31" i="2"/>
  <c r="E31" i="2"/>
  <c r="D31" i="2"/>
  <c r="C31" i="2"/>
  <c r="K30" i="2"/>
  <c r="J30" i="2"/>
  <c r="I30" i="2"/>
  <c r="H30" i="2"/>
  <c r="G30" i="2"/>
  <c r="F30" i="2"/>
  <c r="E30" i="2"/>
  <c r="D30" i="2"/>
  <c r="C30" i="2"/>
  <c r="K26" i="2"/>
  <c r="J26" i="2"/>
  <c r="I26" i="2"/>
  <c r="H26" i="2"/>
  <c r="G26" i="2"/>
  <c r="F26" i="2"/>
  <c r="E26" i="2"/>
  <c r="D26" i="2"/>
  <c r="C26" i="2"/>
  <c r="K25" i="2"/>
  <c r="J25" i="2"/>
  <c r="I25" i="2"/>
  <c r="H25" i="2"/>
  <c r="G25" i="2"/>
  <c r="F25" i="2"/>
  <c r="E25" i="2"/>
  <c r="D25" i="2"/>
  <c r="C25" i="2"/>
  <c r="K21" i="2"/>
  <c r="J21" i="2"/>
  <c r="I21" i="2"/>
  <c r="H21" i="2"/>
  <c r="G21" i="2"/>
  <c r="F21" i="2"/>
  <c r="E21" i="2"/>
  <c r="D21" i="2"/>
  <c r="C21" i="2"/>
  <c r="K20" i="2"/>
  <c r="J20" i="2"/>
  <c r="I20" i="2"/>
  <c r="H20" i="2"/>
  <c r="G20" i="2"/>
  <c r="F20" i="2"/>
  <c r="E20" i="2"/>
  <c r="D20" i="2"/>
  <c r="C20" i="2"/>
  <c r="K16" i="2"/>
  <c r="J16" i="2"/>
  <c r="I16" i="2"/>
  <c r="H16" i="2"/>
  <c r="G16" i="2"/>
  <c r="F16" i="2"/>
  <c r="E16" i="2"/>
  <c r="D16" i="2"/>
  <c r="C16" i="2"/>
  <c r="K15" i="2"/>
  <c r="J15" i="2"/>
  <c r="I15" i="2"/>
  <c r="H15" i="2"/>
  <c r="G15" i="2"/>
  <c r="F15" i="2"/>
  <c r="E15" i="2"/>
  <c r="D15" i="2"/>
  <c r="C15" i="2"/>
  <c r="K11" i="2"/>
  <c r="J11" i="2"/>
  <c r="I11" i="2"/>
  <c r="H11" i="2"/>
  <c r="G11" i="2"/>
  <c r="F11" i="2"/>
  <c r="E11" i="2"/>
  <c r="D11" i="2"/>
  <c r="C11" i="2"/>
  <c r="K10" i="2"/>
  <c r="J10" i="2"/>
  <c r="I10" i="2"/>
  <c r="H10" i="2"/>
  <c r="G10" i="2"/>
  <c r="F10" i="2"/>
  <c r="E10" i="2"/>
  <c r="D10" i="2"/>
  <c r="C10" i="2"/>
  <c r="K6" i="2"/>
  <c r="J6" i="2"/>
  <c r="I6" i="2"/>
  <c r="H6" i="2"/>
  <c r="G6" i="2"/>
  <c r="F6" i="2"/>
  <c r="D6" i="2"/>
  <c r="C6" i="2"/>
  <c r="K5" i="2"/>
  <c r="J5" i="2"/>
  <c r="I5" i="2"/>
  <c r="H5" i="2"/>
  <c r="G5" i="2"/>
  <c r="F5" i="2"/>
  <c r="D5" i="2"/>
  <c r="C5" i="2"/>
  <c r="D36" i="1"/>
  <c r="E36" i="1"/>
  <c r="F36" i="1"/>
  <c r="G36" i="1"/>
  <c r="H36" i="1"/>
  <c r="I36" i="1"/>
  <c r="J36" i="1"/>
  <c r="K36" i="1"/>
  <c r="C36" i="1"/>
  <c r="D31" i="1"/>
  <c r="E31" i="1"/>
  <c r="F31" i="1"/>
  <c r="G31" i="1"/>
  <c r="H31" i="1"/>
  <c r="I31" i="1"/>
  <c r="J31" i="1"/>
  <c r="K31" i="1"/>
  <c r="C31" i="1"/>
  <c r="D35" i="1"/>
  <c r="E35" i="1"/>
  <c r="F35" i="1"/>
  <c r="G35" i="1"/>
  <c r="H35" i="1"/>
  <c r="I35" i="1"/>
  <c r="J35" i="1"/>
  <c r="K35" i="1"/>
  <c r="C35" i="1"/>
  <c r="D30" i="1"/>
  <c r="E30" i="1"/>
  <c r="F30" i="1"/>
  <c r="G30" i="1"/>
  <c r="H30" i="1"/>
  <c r="I30" i="1"/>
  <c r="J30" i="1"/>
  <c r="K30" i="1"/>
  <c r="C30" i="1"/>
  <c r="D26" i="1"/>
  <c r="E26" i="1"/>
  <c r="F26" i="1"/>
  <c r="G26" i="1"/>
  <c r="H26" i="1"/>
  <c r="I26" i="1"/>
  <c r="J26" i="1"/>
  <c r="K26" i="1"/>
  <c r="C26" i="1"/>
  <c r="D25" i="1"/>
  <c r="E25" i="1"/>
  <c r="F25" i="1"/>
  <c r="G25" i="1"/>
  <c r="H25" i="1"/>
  <c r="I25" i="1"/>
  <c r="J25" i="1"/>
  <c r="K25" i="1"/>
  <c r="C25" i="1"/>
  <c r="D21" i="1"/>
  <c r="E21" i="1"/>
  <c r="F21" i="1"/>
  <c r="G21" i="1"/>
  <c r="H21" i="1"/>
  <c r="I21" i="1"/>
  <c r="J21" i="1"/>
  <c r="K21" i="1"/>
  <c r="C21" i="1"/>
  <c r="D20" i="1"/>
  <c r="E20" i="1"/>
  <c r="F20" i="1"/>
  <c r="G20" i="1"/>
  <c r="H20" i="1"/>
  <c r="I20" i="1"/>
  <c r="J20" i="1"/>
  <c r="K20" i="1"/>
  <c r="C20" i="1"/>
  <c r="D16" i="1"/>
  <c r="E16" i="1"/>
  <c r="F16" i="1"/>
  <c r="G16" i="1"/>
  <c r="H16" i="1"/>
  <c r="I16" i="1"/>
  <c r="J16" i="1"/>
  <c r="K16" i="1"/>
  <c r="C16" i="1"/>
  <c r="D15" i="1"/>
  <c r="E15" i="1"/>
  <c r="F15" i="1"/>
  <c r="G15" i="1"/>
  <c r="H15" i="1"/>
  <c r="I15" i="1"/>
  <c r="J15" i="1"/>
  <c r="K15" i="1"/>
  <c r="C15" i="1"/>
  <c r="D11" i="1"/>
  <c r="E11" i="1"/>
  <c r="F11" i="1"/>
  <c r="G11" i="1"/>
  <c r="H11" i="1"/>
  <c r="I11" i="1"/>
  <c r="J11" i="1"/>
  <c r="K11" i="1"/>
  <c r="C11" i="1"/>
  <c r="D10" i="1"/>
  <c r="E10" i="1"/>
  <c r="F10" i="1"/>
  <c r="G10" i="1"/>
  <c r="H10" i="1"/>
  <c r="I10" i="1"/>
  <c r="J10" i="1"/>
  <c r="K10" i="1"/>
  <c r="C10" i="1"/>
  <c r="D6" i="1"/>
  <c r="F6" i="1"/>
  <c r="G6" i="1"/>
  <c r="H6" i="1"/>
  <c r="I6" i="1"/>
  <c r="J6" i="1"/>
  <c r="K6" i="1"/>
  <c r="C6" i="1"/>
  <c r="D5" i="1"/>
  <c r="F5" i="1"/>
  <c r="G5" i="1"/>
  <c r="H5" i="1"/>
  <c r="I5" i="1"/>
  <c r="J5" i="1"/>
  <c r="K5" i="1"/>
  <c r="C5" i="1"/>
  <c r="E11" i="3" l="1"/>
  <c r="E26" i="3"/>
  <c r="E41" i="1"/>
</calcChain>
</file>

<file path=xl/sharedStrings.xml><?xml version="1.0" encoding="utf-8"?>
<sst xmlns="http://schemas.openxmlformats.org/spreadsheetml/2006/main" count="186" uniqueCount="37">
  <si>
    <t>time</t>
  </si>
  <si>
    <t>Feature Size</t>
  </si>
  <si>
    <t>Accuracy</t>
  </si>
  <si>
    <t>f1_score</t>
  </si>
  <si>
    <t>roc_auc</t>
  </si>
  <si>
    <t xml:space="preserve"> Precision</t>
  </si>
  <si>
    <t>recall:</t>
  </si>
  <si>
    <t>Specificity</t>
  </si>
  <si>
    <t>kappa</t>
  </si>
  <si>
    <t>HHO</t>
  </si>
  <si>
    <t>Lasso</t>
  </si>
  <si>
    <t>Lasso +HHO</t>
  </si>
  <si>
    <t>SSA</t>
  </si>
  <si>
    <t>SSA+ lasso</t>
  </si>
  <si>
    <t>Jayo+ lasso</t>
  </si>
  <si>
    <t>jaya</t>
  </si>
  <si>
    <t>avg</t>
  </si>
  <si>
    <t>std</t>
  </si>
  <si>
    <t>#</t>
  </si>
  <si>
    <t>approach</t>
  </si>
  <si>
    <t xml:space="preserve">Reduction </t>
  </si>
  <si>
    <t>GSE132903</t>
  </si>
  <si>
    <t>GSE118553</t>
  </si>
  <si>
    <t>GSE48350</t>
  </si>
  <si>
    <t>GSE36980</t>
  </si>
  <si>
    <t>LASSO</t>
  </si>
  <si>
    <t>EWGS</t>
  </si>
  <si>
    <t>BTO</t>
  </si>
  <si>
    <t>APO</t>
  </si>
  <si>
    <t>LASSO +HHO</t>
  </si>
  <si>
    <t>LASSO+ SSA</t>
  </si>
  <si>
    <t>Jaya</t>
  </si>
  <si>
    <t>LASSO + Jaya</t>
  </si>
  <si>
    <t xml:space="preserve">LASSO + BTO </t>
  </si>
  <si>
    <t>LASSO + APO</t>
  </si>
  <si>
    <t>LASSO + HHO</t>
  </si>
  <si>
    <t>LASSO + 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</si>
</sst>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2" fontId="0" fillId="0" borderId="1" xfId="0" applyNumberFormat="1" applyBorder="1"/>
    <xf numFmtId="2" fontId="2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2" borderId="2" xfId="0" applyFont="1" applyFill="1" applyBorder="1"/>
    <xf numFmtId="2" fontId="3" fillId="0" borderId="1" xfId="0" applyNumberFormat="1" applyFont="1" applyBorder="1"/>
    <xf numFmtId="2" fontId="4" fillId="0" borderId="1" xfId="0" applyNumberFormat="1" applyFont="1" applyBorder="1"/>
    <xf numFmtId="2" fontId="1" fillId="2" borderId="1" xfId="0" applyNumberFormat="1" applyFont="1" applyFill="1" applyBorder="1"/>
    <xf numFmtId="2" fontId="0" fillId="0" borderId="0" xfId="0" applyNumberFormat="1"/>
    <xf numFmtId="0" fontId="1" fillId="3" borderId="1" xfId="0" applyFont="1" applyFill="1" applyBorder="1" applyAlignment="1">
      <alignment horizontal="center"/>
    </xf>
    <xf numFmtId="2" fontId="4" fillId="3" borderId="1" xfId="0" applyNumberFormat="1" applyFont="1" applyFill="1" applyBorder="1"/>
    <xf numFmtId="2" fontId="2" fillId="3" borderId="1" xfId="0" applyNumberFormat="1" applyFont="1" applyFill="1" applyBorder="1"/>
    <xf numFmtId="2" fontId="1" fillId="3" borderId="1" xfId="0" applyNumberFormat="1" applyFont="1" applyFill="1" applyBorder="1"/>
    <xf numFmtId="2" fontId="3" fillId="3" borderId="1" xfId="0" applyNumberFormat="1" applyFont="1" applyFill="1" applyBorder="1"/>
    <xf numFmtId="0" fontId="0" fillId="3" borderId="0" xfId="0" applyFill="1"/>
    <xf numFmtId="0" fontId="0" fillId="3" borderId="1" xfId="0" applyFill="1" applyBorder="1"/>
    <xf numFmtId="2" fontId="0" fillId="3" borderId="1" xfId="0" applyNumberFormat="1" applyFill="1" applyBorder="1"/>
    <xf numFmtId="0" fontId="2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" fontId="3" fillId="0" borderId="1" xfId="0" applyNumberFormat="1" applyFont="1" applyBorder="1"/>
    <xf numFmtId="1" fontId="0" fillId="0" borderId="0" xfId="0" applyNumberFormat="1"/>
    <xf numFmtId="1" fontId="0" fillId="0" borderId="1" xfId="0" applyNumberFormat="1" applyBorder="1"/>
    <xf numFmtId="0" fontId="1" fillId="2" borderId="3" xfId="0" applyFont="1" applyFill="1" applyBorder="1"/>
    <xf numFmtId="0" fontId="1" fillId="2" borderId="4" xfId="0" applyFont="1" applyFill="1" applyBorder="1"/>
    <xf numFmtId="2" fontId="1" fillId="2" borderId="4" xfId="0" applyNumberFormat="1" applyFont="1" applyFill="1" applyBorder="1"/>
    <xf numFmtId="2" fontId="1" fillId="3" borderId="4" xfId="0" applyNumberFormat="1" applyFont="1" applyFill="1" applyBorder="1"/>
    <xf numFmtId="1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8"/>
  <sheetViews>
    <sheetView workbookViewId="0">
      <selection activeCell="E10" sqref="E10"/>
    </sheetView>
  </sheetViews>
  <sheetFormatPr defaultRowHeight="14.25" x14ac:dyDescent="0.45"/>
  <cols>
    <col min="1" max="1" width="10.73046875" customWidth="1"/>
    <col min="2" max="4" width="9.06640625" style="5"/>
    <col min="5" max="5" width="9.06640625" style="17"/>
    <col min="6" max="11" width="9.06640625" style="5"/>
    <col min="18" max="18" width="12.06640625" customWidth="1"/>
  </cols>
  <sheetData>
    <row r="1" spans="1:19" x14ac:dyDescent="0.45">
      <c r="A1" s="6" t="s">
        <v>19</v>
      </c>
      <c r="B1" s="1" t="s">
        <v>18</v>
      </c>
      <c r="C1" s="9" t="s">
        <v>0</v>
      </c>
      <c r="D1" s="9" t="s">
        <v>1</v>
      </c>
      <c r="E1" s="14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O1" s="6" t="s">
        <v>19</v>
      </c>
      <c r="P1" s="1" t="s">
        <v>18</v>
      </c>
      <c r="Q1" s="9" t="s">
        <v>0</v>
      </c>
      <c r="R1" s="9" t="s">
        <v>20</v>
      </c>
      <c r="S1" s="9" t="s">
        <v>2</v>
      </c>
    </row>
    <row r="2" spans="1:19" x14ac:dyDescent="0.45">
      <c r="A2" s="21" t="s">
        <v>25</v>
      </c>
      <c r="B2" s="4">
        <v>1</v>
      </c>
      <c r="C2" s="7">
        <v>3.2361176013946502</v>
      </c>
      <c r="D2" s="24">
        <v>47</v>
      </c>
      <c r="E2" s="15">
        <f>0.983050847457627</f>
        <v>0.98305084745762705</v>
      </c>
      <c r="F2" s="7">
        <v>0.98305084745762705</v>
      </c>
      <c r="G2" s="7">
        <v>0.98333333333333295</v>
      </c>
      <c r="H2" s="7">
        <v>0.96666666666666601</v>
      </c>
      <c r="I2" s="7">
        <v>1</v>
      </c>
      <c r="J2" s="7">
        <v>1</v>
      </c>
      <c r="K2" s="7">
        <v>0.96611143021252099</v>
      </c>
      <c r="O2" s="21" t="s">
        <v>10</v>
      </c>
      <c r="P2" s="4">
        <v>1</v>
      </c>
      <c r="Q2" s="7">
        <v>3.2361176013946502</v>
      </c>
      <c r="R2" s="7">
        <v>99.849988828955347</v>
      </c>
      <c r="S2" s="7">
        <v>0.98305084745762705</v>
      </c>
    </row>
    <row r="3" spans="1:19" x14ac:dyDescent="0.45">
      <c r="A3" s="21"/>
      <c r="B3" s="4">
        <v>2</v>
      </c>
      <c r="C3" s="7">
        <v>1.50169372558593</v>
      </c>
      <c r="D3" s="24">
        <v>47</v>
      </c>
      <c r="E3" s="15">
        <f>0.966101694915254</f>
        <v>0.96610169491525399</v>
      </c>
      <c r="F3" s="7">
        <v>0.96551724137931005</v>
      </c>
      <c r="G3" s="7">
        <v>0.96609195402298798</v>
      </c>
      <c r="H3" s="7">
        <v>0.96551724137931005</v>
      </c>
      <c r="I3" s="7">
        <v>0.96551724137931005</v>
      </c>
      <c r="J3" s="7">
        <v>0.96551724137931005</v>
      </c>
      <c r="K3" s="7">
        <v>0.93218390804597695</v>
      </c>
      <c r="O3" s="21"/>
      <c r="P3" s="4">
        <v>2</v>
      </c>
      <c r="Q3" s="7">
        <v>1.50169372558593</v>
      </c>
      <c r="R3" s="7">
        <v>99.849988828955347</v>
      </c>
      <c r="S3" s="7">
        <v>0.96610169491525399</v>
      </c>
    </row>
    <row r="4" spans="1:19" x14ac:dyDescent="0.45">
      <c r="A4" s="21"/>
      <c r="B4" s="4">
        <v>3</v>
      </c>
      <c r="C4" s="7">
        <v>2.9082381725311199</v>
      </c>
      <c r="D4" s="24">
        <v>47</v>
      </c>
      <c r="E4" s="15">
        <f>(0.966101694915254)</f>
        <v>0.96610169491525399</v>
      </c>
      <c r="F4" s="7">
        <v>0.96551724137931005</v>
      </c>
      <c r="G4" s="7">
        <v>0.96609195402298798</v>
      </c>
      <c r="H4" s="7">
        <v>0.96551724137931005</v>
      </c>
      <c r="I4" s="7">
        <v>0.96551724137931005</v>
      </c>
      <c r="J4" s="7">
        <v>0.96551724137931005</v>
      </c>
      <c r="K4" s="7">
        <v>0.93218390804597695</v>
      </c>
      <c r="O4" s="21"/>
      <c r="P4" s="4">
        <v>3</v>
      </c>
      <c r="Q4" s="7">
        <v>2.9082381725311199</v>
      </c>
      <c r="R4" s="7">
        <v>99.849988828955347</v>
      </c>
      <c r="S4" s="7">
        <v>0.96610169491525399</v>
      </c>
    </row>
    <row r="5" spans="1:19" x14ac:dyDescent="0.45">
      <c r="A5" s="21"/>
      <c r="B5" s="4" t="s">
        <v>16</v>
      </c>
      <c r="C5" s="8">
        <f>AVERAGE(C2:C4)</f>
        <v>2.5486831665039</v>
      </c>
      <c r="D5" s="8">
        <f t="shared" ref="D5:K5" si="0">AVERAGE(D2:D4)</f>
        <v>47</v>
      </c>
      <c r="E5" s="12">
        <f>AVERAGE(E2:E4)</f>
        <v>0.97175141242937835</v>
      </c>
      <c r="F5" s="8">
        <f t="shared" si="0"/>
        <v>0.97136177673874913</v>
      </c>
      <c r="G5" s="8">
        <f t="shared" si="0"/>
        <v>0.97183908045976963</v>
      </c>
      <c r="H5" s="8">
        <f t="shared" si="0"/>
        <v>0.96590038314176196</v>
      </c>
      <c r="I5" s="8">
        <f t="shared" si="0"/>
        <v>0.97701149425287337</v>
      </c>
      <c r="J5" s="8">
        <f t="shared" si="0"/>
        <v>0.97701149425287337</v>
      </c>
      <c r="K5" s="8">
        <f t="shared" si="0"/>
        <v>0.94349308210149163</v>
      </c>
      <c r="O5" s="21"/>
      <c r="P5" s="11" t="s">
        <v>16</v>
      </c>
      <c r="Q5" s="12">
        <f>AVERAGE(Q2:Q4)</f>
        <v>2.5486831665039</v>
      </c>
      <c r="R5" s="12">
        <v>99.849988828955347</v>
      </c>
      <c r="S5" s="12">
        <f t="shared" ref="S5" si="1">AVERAGE(S2:S4)</f>
        <v>0.97175141242937835</v>
      </c>
    </row>
    <row r="6" spans="1:19" x14ac:dyDescent="0.45">
      <c r="A6" s="21"/>
      <c r="B6" s="4" t="s">
        <v>17</v>
      </c>
      <c r="C6" s="8">
        <f>STDEV(C2:C4)</f>
        <v>0.92142085770469839</v>
      </c>
      <c r="D6" s="8">
        <f t="shared" ref="D6:K6" si="2">STDEV(D2:D4)</f>
        <v>0</v>
      </c>
      <c r="E6" s="12">
        <f>STDEV(E2:E4)</f>
        <v>9.7855977828751137E-3</v>
      </c>
      <c r="F6" s="8">
        <f t="shared" si="2"/>
        <v>1.0123032189181178E-2</v>
      </c>
      <c r="G6" s="8">
        <f t="shared" si="2"/>
        <v>9.9543149860281139E-3</v>
      </c>
      <c r="H6" s="8">
        <f t="shared" si="2"/>
        <v>6.6362099906832304E-4</v>
      </c>
      <c r="I6" s="8">
        <f t="shared" si="2"/>
        <v>1.9908629972056228E-2</v>
      </c>
      <c r="J6" s="8">
        <f t="shared" si="2"/>
        <v>1.9908629972056228E-2</v>
      </c>
      <c r="K6" s="8">
        <f t="shared" si="2"/>
        <v>1.95880640557912E-2</v>
      </c>
      <c r="O6" s="21"/>
      <c r="P6" s="11" t="s">
        <v>17</v>
      </c>
      <c r="Q6" s="12">
        <f>STDEV(Q2:Q4)</f>
        <v>0.92142085770469839</v>
      </c>
      <c r="R6" s="12">
        <v>0</v>
      </c>
      <c r="S6" s="12">
        <f t="shared" ref="S6" si="3">STDEV(S2:S4)</f>
        <v>9.7855977828751137E-3</v>
      </c>
    </row>
    <row r="7" spans="1:19" x14ac:dyDescent="0.45">
      <c r="A7" s="21" t="s">
        <v>9</v>
      </c>
      <c r="B7" s="4">
        <v>1</v>
      </c>
      <c r="C7" s="7">
        <v>171.41344904899501</v>
      </c>
      <c r="D7" s="24">
        <v>126</v>
      </c>
      <c r="E7" s="15">
        <f>94.9152542372881/100</f>
        <v>0.94915254237288094</v>
      </c>
      <c r="F7" s="7">
        <v>0.94736842105263097</v>
      </c>
      <c r="G7" s="7">
        <v>0.948850574712643</v>
      </c>
      <c r="H7" s="7">
        <v>0.96428571428571397</v>
      </c>
      <c r="I7" s="7">
        <v>0.93103448275862</v>
      </c>
      <c r="J7" s="7">
        <v>0.93103448275862</v>
      </c>
      <c r="K7" s="7">
        <v>0.89821736630247195</v>
      </c>
      <c r="O7" s="21" t="s">
        <v>9</v>
      </c>
      <c r="P7" s="4">
        <v>1</v>
      </c>
      <c r="Q7" s="7">
        <v>171.41344904899501</v>
      </c>
      <c r="R7" s="7">
        <v>99.597842392518587</v>
      </c>
      <c r="S7" s="7">
        <v>94.915254237288096</v>
      </c>
    </row>
    <row r="8" spans="1:19" x14ac:dyDescent="0.45">
      <c r="A8" s="21"/>
      <c r="B8" s="4">
        <v>2</v>
      </c>
      <c r="C8" s="7">
        <v>312.77997708320601</v>
      </c>
      <c r="D8" s="24">
        <v>200</v>
      </c>
      <c r="E8" s="15">
        <f>94.9152542372881/100</f>
        <v>0.94915254237288094</v>
      </c>
      <c r="F8" s="7">
        <v>0.94736842105263097</v>
      </c>
      <c r="G8" s="7">
        <v>0.948850574712643</v>
      </c>
      <c r="H8" s="7">
        <v>0.96428571428571397</v>
      </c>
      <c r="I8" s="7">
        <v>0.93103448275862</v>
      </c>
      <c r="J8" s="7">
        <v>0.93103448275862</v>
      </c>
      <c r="K8" s="7">
        <v>0.89821736630247195</v>
      </c>
      <c r="O8" s="21"/>
      <c r="P8" s="4">
        <v>2</v>
      </c>
      <c r="Q8" s="7">
        <v>312.77997708320601</v>
      </c>
      <c r="R8" s="7">
        <v>99.361654591299356</v>
      </c>
      <c r="S8" s="7">
        <v>94.915254237288096</v>
      </c>
    </row>
    <row r="9" spans="1:19" x14ac:dyDescent="0.45">
      <c r="A9" s="21"/>
      <c r="B9" s="4">
        <v>3</v>
      </c>
      <c r="C9" s="7">
        <v>168.851424694061</v>
      </c>
      <c r="D9" s="24">
        <v>36</v>
      </c>
      <c r="E9" s="15">
        <f>94.9152542372881/100</f>
        <v>0.94915254237288094</v>
      </c>
      <c r="F9" s="7">
        <v>0.94736842105263097</v>
      </c>
      <c r="G9" s="7">
        <v>0.948850574712643</v>
      </c>
      <c r="H9" s="7">
        <v>0.96428571428571397</v>
      </c>
      <c r="I9" s="7">
        <v>0.93103448275862</v>
      </c>
      <c r="J9" s="7">
        <v>0.93103448275862</v>
      </c>
      <c r="K9" s="7">
        <v>0.89821736630247195</v>
      </c>
      <c r="O9" s="21"/>
      <c r="P9" s="4">
        <v>3</v>
      </c>
      <c r="Q9" s="7">
        <v>168.851424694061</v>
      </c>
      <c r="R9" s="7">
        <v>99.885097826433878</v>
      </c>
      <c r="S9" s="7">
        <v>94.915254237288096</v>
      </c>
    </row>
    <row r="10" spans="1:19" x14ac:dyDescent="0.45">
      <c r="A10" s="21"/>
      <c r="B10" s="4" t="s">
        <v>16</v>
      </c>
      <c r="C10" s="8">
        <f>AVERAGE(C7:C9)</f>
        <v>217.68161694208735</v>
      </c>
      <c r="D10" s="8">
        <f t="shared" ref="D10:K10" si="4">AVERAGE(D7:D9)</f>
        <v>120.66666666666667</v>
      </c>
      <c r="E10" s="12">
        <f t="shared" si="4"/>
        <v>0.94915254237288094</v>
      </c>
      <c r="F10" s="8">
        <f t="shared" si="4"/>
        <v>0.94736842105263097</v>
      </c>
      <c r="G10" s="8">
        <f t="shared" si="4"/>
        <v>0.948850574712643</v>
      </c>
      <c r="H10" s="8">
        <f t="shared" si="4"/>
        <v>0.96428571428571397</v>
      </c>
      <c r="I10" s="8">
        <f t="shared" si="4"/>
        <v>0.93103448275862</v>
      </c>
      <c r="J10" s="8">
        <f t="shared" si="4"/>
        <v>0.93103448275862</v>
      </c>
      <c r="K10" s="8">
        <f t="shared" si="4"/>
        <v>0.89821736630247206</v>
      </c>
      <c r="O10" s="21"/>
      <c r="P10" s="11" t="s">
        <v>16</v>
      </c>
      <c r="Q10" s="12">
        <f>AVERAGE(Q7:Q9)</f>
        <v>217.68161694208735</v>
      </c>
      <c r="R10" s="12">
        <v>99.614864936750607</v>
      </c>
      <c r="S10" s="12">
        <f>AVERAGE(S7:S9)</f>
        <v>94.915254237288096</v>
      </c>
    </row>
    <row r="11" spans="1:19" x14ac:dyDescent="0.45">
      <c r="A11" s="21"/>
      <c r="B11" s="4" t="s">
        <v>17</v>
      </c>
      <c r="C11" s="8">
        <f>STDEV(C7:C9)</f>
        <v>82.367557741784722</v>
      </c>
      <c r="D11" s="8">
        <f t="shared" ref="D11:K11" si="5">STDEV(D7:D9)</f>
        <v>82.12997828645355</v>
      </c>
      <c r="E11" s="12">
        <f t="shared" si="5"/>
        <v>0</v>
      </c>
      <c r="F11" s="8">
        <f t="shared" si="5"/>
        <v>0</v>
      </c>
      <c r="G11" s="8">
        <f t="shared" si="5"/>
        <v>0</v>
      </c>
      <c r="H11" s="8">
        <f t="shared" si="5"/>
        <v>0</v>
      </c>
      <c r="I11" s="8">
        <f t="shared" si="5"/>
        <v>0</v>
      </c>
      <c r="J11" s="8">
        <f t="shared" si="5"/>
        <v>0</v>
      </c>
      <c r="K11" s="8">
        <f t="shared" si="5"/>
        <v>1.3597399555105182E-16</v>
      </c>
      <c r="O11" s="21"/>
      <c r="P11" s="11" t="s">
        <v>17</v>
      </c>
      <c r="Q11" s="12">
        <f>STDEV(Q7:Q9)</f>
        <v>82.367557741784722</v>
      </c>
      <c r="R11" s="12">
        <v>0.26213647277920316</v>
      </c>
      <c r="S11" s="12">
        <f t="shared" ref="S11" si="6">STDEV(S7:S9)</f>
        <v>0</v>
      </c>
    </row>
    <row r="12" spans="1:19" x14ac:dyDescent="0.45">
      <c r="A12" s="21" t="s">
        <v>29</v>
      </c>
      <c r="B12" s="4">
        <v>1</v>
      </c>
      <c r="C12" s="7">
        <v>16.944422245025599</v>
      </c>
      <c r="D12" s="24">
        <v>14</v>
      </c>
      <c r="E12" s="15">
        <v>1</v>
      </c>
      <c r="F12" s="7">
        <v>1</v>
      </c>
      <c r="G12" s="7">
        <v>1</v>
      </c>
      <c r="H12" s="7">
        <v>1</v>
      </c>
      <c r="I12" s="7">
        <v>1</v>
      </c>
      <c r="J12" s="7">
        <v>1</v>
      </c>
      <c r="K12" s="7">
        <v>1</v>
      </c>
      <c r="O12" s="21" t="s">
        <v>11</v>
      </c>
      <c r="P12" s="4">
        <v>1</v>
      </c>
      <c r="Q12" s="7">
        <v>16.944422245025599</v>
      </c>
      <c r="R12" s="7">
        <v>99.955315821390954</v>
      </c>
      <c r="S12" s="7">
        <v>100</v>
      </c>
    </row>
    <row r="13" spans="1:19" x14ac:dyDescent="0.45">
      <c r="A13" s="21"/>
      <c r="B13" s="4">
        <v>2</v>
      </c>
      <c r="C13" s="7">
        <v>11.306578874588</v>
      </c>
      <c r="D13" s="24">
        <v>29</v>
      </c>
      <c r="E13" s="15">
        <v>1</v>
      </c>
      <c r="F13" s="7">
        <v>1</v>
      </c>
      <c r="G13" s="7">
        <v>1</v>
      </c>
      <c r="H13" s="7">
        <v>1</v>
      </c>
      <c r="I13" s="7">
        <v>1</v>
      </c>
      <c r="J13" s="7">
        <v>1</v>
      </c>
      <c r="K13" s="7">
        <v>1</v>
      </c>
      <c r="O13" s="21"/>
      <c r="P13" s="4">
        <v>2</v>
      </c>
      <c r="Q13" s="7">
        <v>11.306578874588</v>
      </c>
      <c r="R13" s="7">
        <v>99.907439915738408</v>
      </c>
      <c r="S13" s="7">
        <v>100</v>
      </c>
    </row>
    <row r="14" spans="1:19" x14ac:dyDescent="0.45">
      <c r="A14" s="21"/>
      <c r="B14" s="4">
        <v>3</v>
      </c>
      <c r="C14" s="7">
        <v>20.360220432281402</v>
      </c>
      <c r="D14" s="24">
        <v>18</v>
      </c>
      <c r="E14" s="15">
        <v>1</v>
      </c>
      <c r="F14" s="7">
        <v>1</v>
      </c>
      <c r="G14" s="7">
        <v>1</v>
      </c>
      <c r="H14" s="7">
        <v>1</v>
      </c>
      <c r="I14" s="7">
        <v>1</v>
      </c>
      <c r="J14" s="7">
        <v>1</v>
      </c>
      <c r="K14" s="7">
        <v>1</v>
      </c>
      <c r="O14" s="21"/>
      <c r="P14" s="4">
        <v>3</v>
      </c>
      <c r="Q14" s="7">
        <v>20.360220432281402</v>
      </c>
      <c r="R14" s="7">
        <v>99.942548913216939</v>
      </c>
      <c r="S14" s="7">
        <v>100</v>
      </c>
    </row>
    <row r="15" spans="1:19" x14ac:dyDescent="0.45">
      <c r="A15" s="21"/>
      <c r="B15" s="4" t="s">
        <v>16</v>
      </c>
      <c r="C15" s="3">
        <f>AVERAGE(C12:C14)</f>
        <v>16.203740517298332</v>
      </c>
      <c r="D15" s="3">
        <f t="shared" ref="D15:K15" si="7">AVERAGE(D12:D14)</f>
        <v>20.333333333333332</v>
      </c>
      <c r="E15" s="13">
        <f t="shared" si="7"/>
        <v>1</v>
      </c>
      <c r="F15" s="3">
        <f t="shared" si="7"/>
        <v>1</v>
      </c>
      <c r="G15" s="3">
        <f t="shared" si="7"/>
        <v>1</v>
      </c>
      <c r="H15" s="3">
        <f t="shared" si="7"/>
        <v>1</v>
      </c>
      <c r="I15" s="3">
        <f t="shared" si="7"/>
        <v>1</v>
      </c>
      <c r="J15" s="3">
        <f t="shared" si="7"/>
        <v>1</v>
      </c>
      <c r="K15" s="3">
        <f t="shared" si="7"/>
        <v>1</v>
      </c>
      <c r="O15" s="21"/>
      <c r="P15" s="11" t="s">
        <v>16</v>
      </c>
      <c r="Q15" s="13">
        <f>AVERAGE(Q12:Q14)</f>
        <v>16.203740517298332</v>
      </c>
      <c r="R15" s="13">
        <v>99.935101550115448</v>
      </c>
      <c r="S15" s="13">
        <f t="shared" ref="S15" si="8">AVERAGE(S12:S14)</f>
        <v>100</v>
      </c>
    </row>
    <row r="16" spans="1:19" x14ac:dyDescent="0.45">
      <c r="A16" s="21"/>
      <c r="B16" s="4" t="s">
        <v>17</v>
      </c>
      <c r="C16" s="3">
        <f>STDEV(C12:C14)</f>
        <v>4.5720414947963919</v>
      </c>
      <c r="D16" s="3">
        <f t="shared" ref="D16:K16" si="9">STDEV(D12:D14)</f>
        <v>7.7674534651540315</v>
      </c>
      <c r="E16" s="13">
        <f t="shared" si="9"/>
        <v>0</v>
      </c>
      <c r="F16" s="3">
        <f t="shared" si="9"/>
        <v>0</v>
      </c>
      <c r="G16" s="3">
        <f t="shared" si="9"/>
        <v>0</v>
      </c>
      <c r="H16" s="3">
        <f t="shared" si="9"/>
        <v>0</v>
      </c>
      <c r="I16" s="3">
        <f t="shared" si="9"/>
        <v>0</v>
      </c>
      <c r="J16" s="3">
        <f t="shared" si="9"/>
        <v>0</v>
      </c>
      <c r="K16" s="3">
        <f t="shared" si="9"/>
        <v>0</v>
      </c>
      <c r="O16" s="21"/>
      <c r="P16" s="11" t="s">
        <v>17</v>
      </c>
      <c r="Q16" s="13">
        <f>STDEV(Q12:Q14)</f>
        <v>4.5720414947963919</v>
      </c>
      <c r="R16" s="13">
        <v>2.4791591283883384E-2</v>
      </c>
      <c r="S16" s="13">
        <f t="shared" ref="S16" si="10">STDEV(S12:S14)</f>
        <v>0</v>
      </c>
    </row>
    <row r="17" spans="1:19" x14ac:dyDescent="0.45">
      <c r="A17" s="21" t="s">
        <v>12</v>
      </c>
      <c r="B17" s="4">
        <v>1</v>
      </c>
      <c r="C17" s="7">
        <v>865.784549951553</v>
      </c>
      <c r="D17" s="24">
        <v>14181</v>
      </c>
      <c r="E17" s="15">
        <f>86.4406779661017/100</f>
        <v>0.86440677966101698</v>
      </c>
      <c r="F17" s="7">
        <v>0.85714285714285698</v>
      </c>
      <c r="G17" s="7">
        <v>0.86379310344827498</v>
      </c>
      <c r="H17" s="7">
        <v>0.88888888888888795</v>
      </c>
      <c r="I17" s="7">
        <v>0.82758620689655105</v>
      </c>
      <c r="J17" s="7">
        <v>0.82758620689655105</v>
      </c>
      <c r="K17" s="7">
        <v>0.72842347525891804</v>
      </c>
      <c r="O17" s="21" t="s">
        <v>12</v>
      </c>
      <c r="P17" s="4">
        <v>1</v>
      </c>
      <c r="Q17" s="7">
        <v>865.784549951553</v>
      </c>
      <c r="R17" s="7">
        <v>54.738118796080556</v>
      </c>
      <c r="S17" s="7">
        <v>86.440677966101703</v>
      </c>
    </row>
    <row r="18" spans="1:19" x14ac:dyDescent="0.45">
      <c r="A18" s="21"/>
      <c r="B18" s="4">
        <v>2</v>
      </c>
      <c r="C18" s="7">
        <v>853.92965579032898</v>
      </c>
      <c r="D18" s="24">
        <v>14110</v>
      </c>
      <c r="E18" s="15">
        <f>86.4406779661017/100</f>
        <v>0.86440677966101698</v>
      </c>
      <c r="F18" s="7">
        <v>0.85714285714285698</v>
      </c>
      <c r="G18" s="7">
        <v>0.86379310344827498</v>
      </c>
      <c r="H18" s="7">
        <v>0.88888888888888795</v>
      </c>
      <c r="I18" s="7">
        <v>0.82758620689655105</v>
      </c>
      <c r="J18" s="7">
        <v>0.82758620689655105</v>
      </c>
      <c r="K18" s="7">
        <v>0.72842347525891804</v>
      </c>
      <c r="O18" s="21"/>
      <c r="P18" s="4">
        <v>2</v>
      </c>
      <c r="Q18" s="7">
        <v>853.92965579032898</v>
      </c>
      <c r="R18" s="7">
        <v>54.964731416169286</v>
      </c>
      <c r="S18" s="7">
        <v>86.440677966101703</v>
      </c>
    </row>
    <row r="19" spans="1:19" x14ac:dyDescent="0.45">
      <c r="A19" s="21"/>
      <c r="B19" s="4">
        <v>3</v>
      </c>
      <c r="C19" s="7">
        <v>2072.9567165374701</v>
      </c>
      <c r="D19" s="24">
        <v>14233</v>
      </c>
      <c r="E19" s="15">
        <f>86.4406779661017/100</f>
        <v>0.86440677966101698</v>
      </c>
      <c r="F19" s="7">
        <v>0.85714285714285698</v>
      </c>
      <c r="G19" s="7">
        <v>0.86379310344827498</v>
      </c>
      <c r="H19" s="7">
        <v>0.88888888888888795</v>
      </c>
      <c r="I19" s="7">
        <v>0.82758620689655105</v>
      </c>
      <c r="J19" s="7">
        <v>0.82758620689655105</v>
      </c>
      <c r="K19" s="7">
        <v>0.72842347525891804</v>
      </c>
      <c r="O19" s="21"/>
      <c r="P19" s="4">
        <v>3</v>
      </c>
      <c r="Q19" s="7">
        <v>2072.9567165374701</v>
      </c>
      <c r="R19" s="7">
        <v>54.572148989818388</v>
      </c>
      <c r="S19" s="7">
        <v>86.440677966101703</v>
      </c>
    </row>
    <row r="20" spans="1:19" x14ac:dyDescent="0.45">
      <c r="A20" s="21"/>
      <c r="B20" s="4" t="s">
        <v>16</v>
      </c>
      <c r="C20" s="8">
        <f>AVERAGE(C17:C19)</f>
        <v>1264.2236407597841</v>
      </c>
      <c r="D20" s="8">
        <f t="shared" ref="D20:K20" si="11">AVERAGE(D17:D19)</f>
        <v>14174.666666666666</v>
      </c>
      <c r="E20" s="12">
        <f t="shared" si="11"/>
        <v>0.86440677966101698</v>
      </c>
      <c r="F20" s="8">
        <f t="shared" si="11"/>
        <v>0.8571428571428571</v>
      </c>
      <c r="G20" s="8">
        <f t="shared" si="11"/>
        <v>0.86379310344827498</v>
      </c>
      <c r="H20" s="8">
        <f t="shared" si="11"/>
        <v>0.88888888888888795</v>
      </c>
      <c r="I20" s="8">
        <f t="shared" si="11"/>
        <v>0.82758620689655105</v>
      </c>
      <c r="J20" s="8">
        <f t="shared" si="11"/>
        <v>0.82758620689655105</v>
      </c>
      <c r="K20" s="8">
        <f t="shared" si="11"/>
        <v>0.72842347525891815</v>
      </c>
      <c r="O20" s="21"/>
      <c r="P20" s="11" t="s">
        <v>16</v>
      </c>
      <c r="Q20" s="12">
        <f>AVERAGE(Q17:Q19)</f>
        <v>1264.2236407597841</v>
      </c>
      <c r="R20" s="12">
        <v>54.75833306735607</v>
      </c>
      <c r="S20" s="12">
        <f t="shared" ref="S20" si="12">AVERAGE(S17:S19)</f>
        <v>86.440677966101703</v>
      </c>
    </row>
    <row r="21" spans="1:19" x14ac:dyDescent="0.45">
      <c r="A21" s="21"/>
      <c r="B21" s="4" t="s">
        <v>17</v>
      </c>
      <c r="C21" s="8">
        <f>STDEV(C17:C19)</f>
        <v>700.40847048099079</v>
      </c>
      <c r="D21" s="8">
        <f t="shared" ref="D21:K21" si="13">STDEV(D17:D19)</f>
        <v>61.744095534175031</v>
      </c>
      <c r="E21" s="12">
        <f t="shared" si="13"/>
        <v>0</v>
      </c>
      <c r="F21" s="8">
        <f t="shared" si="13"/>
        <v>1.3597399555105182E-16</v>
      </c>
      <c r="G21" s="8">
        <f t="shared" si="13"/>
        <v>0</v>
      </c>
      <c r="H21" s="8">
        <f t="shared" si="13"/>
        <v>0</v>
      </c>
      <c r="I21" s="8">
        <f t="shared" si="13"/>
        <v>0</v>
      </c>
      <c r="J21" s="8">
        <f t="shared" si="13"/>
        <v>0</v>
      </c>
      <c r="K21" s="8">
        <f t="shared" si="13"/>
        <v>1.3597399555105182E-16</v>
      </c>
      <c r="O21" s="21"/>
      <c r="P21" s="11" t="s">
        <v>17</v>
      </c>
      <c r="Q21" s="12">
        <f>STDEV(Q17:Q19)</f>
        <v>700.40847048099079</v>
      </c>
      <c r="R21" s="12">
        <v>0.19707029949307411</v>
      </c>
      <c r="S21" s="12">
        <f t="shared" ref="S21" si="14">STDEV(S17:S19)</f>
        <v>0</v>
      </c>
    </row>
    <row r="22" spans="1:19" x14ac:dyDescent="0.45">
      <c r="A22" s="21" t="s">
        <v>30</v>
      </c>
      <c r="B22" s="4">
        <v>1</v>
      </c>
      <c r="C22" s="7">
        <v>8.8668127059936506</v>
      </c>
      <c r="D22" s="24">
        <v>15</v>
      </c>
      <c r="E22" s="15">
        <f>98.3050847457627/100</f>
        <v>0.98305084745762694</v>
      </c>
      <c r="F22" s="7">
        <v>0.98245614035087703</v>
      </c>
      <c r="G22" s="7">
        <v>0.98275862068965503</v>
      </c>
      <c r="H22" s="7">
        <v>1</v>
      </c>
      <c r="I22" s="7">
        <v>0.96551724137931005</v>
      </c>
      <c r="J22" s="7">
        <v>0.96551724137931005</v>
      </c>
      <c r="K22" s="7">
        <v>0.96607245543415698</v>
      </c>
      <c r="O22" s="21" t="s">
        <v>13</v>
      </c>
      <c r="P22" s="4">
        <v>1</v>
      </c>
      <c r="Q22" s="7">
        <v>8.8668127059936506</v>
      </c>
      <c r="R22" s="7">
        <v>99.952124094347454</v>
      </c>
      <c r="S22" s="7">
        <v>98.305084745762699</v>
      </c>
    </row>
    <row r="23" spans="1:19" x14ac:dyDescent="0.45">
      <c r="A23" s="21"/>
      <c r="B23" s="4">
        <v>2</v>
      </c>
      <c r="C23" s="7">
        <v>9.8900823593139595</v>
      </c>
      <c r="D23" s="24">
        <v>17</v>
      </c>
      <c r="E23" s="15">
        <v>1</v>
      </c>
      <c r="F23" s="7">
        <v>1</v>
      </c>
      <c r="G23" s="7">
        <v>1</v>
      </c>
      <c r="H23" s="7">
        <v>1</v>
      </c>
      <c r="I23" s="7">
        <v>1</v>
      </c>
      <c r="J23" s="7">
        <v>1</v>
      </c>
      <c r="K23" s="7">
        <v>1</v>
      </c>
      <c r="O23" s="21"/>
      <c r="P23" s="4">
        <v>2</v>
      </c>
      <c r="Q23" s="7">
        <v>9.8900823593139595</v>
      </c>
      <c r="R23" s="7">
        <v>99.945740640260439</v>
      </c>
      <c r="S23" s="7">
        <v>100</v>
      </c>
    </row>
    <row r="24" spans="1:19" x14ac:dyDescent="0.45">
      <c r="A24" s="21"/>
      <c r="B24" s="4">
        <v>3</v>
      </c>
      <c r="C24" s="7">
        <v>10.622828960418699</v>
      </c>
      <c r="D24" s="24">
        <v>18</v>
      </c>
      <c r="E24" s="15">
        <v>1</v>
      </c>
      <c r="F24" s="7">
        <v>1</v>
      </c>
      <c r="G24" s="7">
        <v>1</v>
      </c>
      <c r="H24" s="7">
        <v>1</v>
      </c>
      <c r="I24" s="7">
        <v>1</v>
      </c>
      <c r="J24" s="7">
        <v>1</v>
      </c>
      <c r="K24" s="7">
        <v>1</v>
      </c>
      <c r="O24" s="21"/>
      <c r="P24" s="4">
        <v>3</v>
      </c>
      <c r="Q24" s="7">
        <v>10.622828960418699</v>
      </c>
      <c r="R24" s="7">
        <v>99.942548913216939</v>
      </c>
      <c r="S24" s="7">
        <v>100</v>
      </c>
    </row>
    <row r="25" spans="1:19" x14ac:dyDescent="0.45">
      <c r="A25" s="21"/>
      <c r="B25" s="4" t="s">
        <v>16</v>
      </c>
      <c r="C25" s="8">
        <f>AVERAGE(C22:C24)</f>
        <v>9.7932413419087698</v>
      </c>
      <c r="D25" s="8">
        <f t="shared" ref="D25:K25" si="15">AVERAGE(D22:D24)</f>
        <v>16.666666666666668</v>
      </c>
      <c r="E25" s="12">
        <f t="shared" si="15"/>
        <v>0.99435028248587576</v>
      </c>
      <c r="F25" s="8">
        <f t="shared" si="15"/>
        <v>0.99415204678362568</v>
      </c>
      <c r="G25" s="8">
        <f t="shared" si="15"/>
        <v>0.99425287356321823</v>
      </c>
      <c r="H25" s="8">
        <f t="shared" si="15"/>
        <v>1</v>
      </c>
      <c r="I25" s="8">
        <f t="shared" si="15"/>
        <v>0.98850574712643668</v>
      </c>
      <c r="J25" s="8">
        <f t="shared" si="15"/>
        <v>0.98850574712643668</v>
      </c>
      <c r="K25" s="8">
        <f t="shared" si="15"/>
        <v>0.9886908184780524</v>
      </c>
      <c r="O25" s="21"/>
      <c r="P25" s="11" t="s">
        <v>16</v>
      </c>
      <c r="Q25" s="12">
        <f>AVERAGE(Q22:Q24)</f>
        <v>9.7932413419087698</v>
      </c>
      <c r="R25" s="12">
        <v>99.94680454927493</v>
      </c>
      <c r="S25" s="12">
        <f t="shared" ref="S25" si="16">AVERAGE(S22:S24)</f>
        <v>99.435028248587571</v>
      </c>
    </row>
    <row r="26" spans="1:19" x14ac:dyDescent="0.45">
      <c r="A26" s="21"/>
      <c r="B26" s="4" t="s">
        <v>17</v>
      </c>
      <c r="C26" s="8">
        <f>STDEV(C22:C24)</f>
        <v>0.88200448323140557</v>
      </c>
      <c r="D26" s="8">
        <f t="shared" ref="D26:K26" si="17">STDEV(D22:D24)</f>
        <v>1.5275252316519465</v>
      </c>
      <c r="E26" s="12">
        <f t="shared" si="17"/>
        <v>9.7855977828751155E-3</v>
      </c>
      <c r="F26" s="8">
        <f t="shared" si="17"/>
        <v>1.012895209104616E-2</v>
      </c>
      <c r="G26" s="8">
        <f t="shared" si="17"/>
        <v>9.9543149860281139E-3</v>
      </c>
      <c r="H26" s="8">
        <f t="shared" si="17"/>
        <v>0</v>
      </c>
      <c r="I26" s="8">
        <f t="shared" si="17"/>
        <v>1.9908629972056228E-2</v>
      </c>
      <c r="J26" s="8">
        <f t="shared" si="17"/>
        <v>1.9908629972056228E-2</v>
      </c>
      <c r="K26" s="8">
        <f t="shared" si="17"/>
        <v>1.9588076988032489E-2</v>
      </c>
      <c r="O26" s="21"/>
      <c r="P26" s="11" t="s">
        <v>17</v>
      </c>
      <c r="Q26" s="12">
        <f>STDEV(Q22:Q24)</f>
        <v>0.88200448323140557</v>
      </c>
      <c r="R26" s="12">
        <v>4.8754435915002343E-3</v>
      </c>
      <c r="S26" s="12">
        <f t="shared" ref="S26" si="18">STDEV(S22:S24)</f>
        <v>0.97855977828750895</v>
      </c>
    </row>
    <row r="27" spans="1:19" x14ac:dyDescent="0.45">
      <c r="A27" s="21" t="s">
        <v>31</v>
      </c>
      <c r="B27" s="4">
        <v>1</v>
      </c>
      <c r="C27" s="7">
        <v>1328.0789816379499</v>
      </c>
      <c r="D27" s="24">
        <v>13759</v>
      </c>
      <c r="E27" s="15">
        <v>84.745762711864401</v>
      </c>
      <c r="F27" s="7">
        <v>0.84745762711864403</v>
      </c>
      <c r="G27" s="7">
        <v>0.84770114942528696</v>
      </c>
      <c r="H27" s="7">
        <v>0.83333333333333304</v>
      </c>
      <c r="I27" s="7">
        <v>0.86206896551724099</v>
      </c>
      <c r="J27" s="7">
        <v>0.86206896551724099</v>
      </c>
      <c r="K27" s="7">
        <v>0.69500287191269305</v>
      </c>
      <c r="O27" s="21" t="s">
        <v>15</v>
      </c>
      <c r="P27" s="4">
        <v>1</v>
      </c>
      <c r="Q27" s="7">
        <v>1328.0789816379499</v>
      </c>
      <c r="R27" s="7">
        <v>56.085027608438928</v>
      </c>
      <c r="S27" s="7">
        <v>84.745762711864401</v>
      </c>
    </row>
    <row r="28" spans="1:19" x14ac:dyDescent="0.45">
      <c r="A28" s="21"/>
      <c r="B28" s="4">
        <v>2</v>
      </c>
      <c r="C28" s="7">
        <v>840.02655649185101</v>
      </c>
      <c r="D28" s="24">
        <v>13907</v>
      </c>
      <c r="E28" s="15">
        <v>84.745762711864401</v>
      </c>
      <c r="F28" s="7">
        <v>0.84745762711864403</v>
      </c>
      <c r="G28" s="7">
        <v>0.84770114942528696</v>
      </c>
      <c r="H28" s="7">
        <v>0.83333333333333304</v>
      </c>
      <c r="I28" s="7">
        <v>0.86206896551724099</v>
      </c>
      <c r="J28" s="7">
        <v>0.86206896551724099</v>
      </c>
      <c r="K28" s="7">
        <v>0.69500287191269305</v>
      </c>
      <c r="O28" s="21"/>
      <c r="P28" s="4">
        <v>2</v>
      </c>
      <c r="Q28" s="7">
        <v>840.02655649185101</v>
      </c>
      <c r="R28" s="7">
        <v>55.612652006000445</v>
      </c>
      <c r="S28" s="7">
        <v>84.745762711864401</v>
      </c>
    </row>
    <row r="29" spans="1:19" x14ac:dyDescent="0.45">
      <c r="A29" s="21"/>
      <c r="B29" s="4">
        <v>3</v>
      </c>
      <c r="C29" s="7">
        <v>911.92030334472599</v>
      </c>
      <c r="D29" s="24">
        <v>13664</v>
      </c>
      <c r="E29" s="15">
        <v>86.440677966101703</v>
      </c>
      <c r="F29" s="7">
        <v>0.86206896551724099</v>
      </c>
      <c r="G29" s="7">
        <v>0.86436781609195401</v>
      </c>
      <c r="H29" s="7">
        <v>0.86206896551724099</v>
      </c>
      <c r="I29" s="7">
        <v>0.86206896551724099</v>
      </c>
      <c r="J29" s="7">
        <v>0.86206896551724099</v>
      </c>
      <c r="K29" s="7">
        <v>0.72873563218390802</v>
      </c>
      <c r="O29" s="21"/>
      <c r="P29" s="4">
        <v>3</v>
      </c>
      <c r="Q29" s="7">
        <v>911.92030334472599</v>
      </c>
      <c r="R29" s="7">
        <v>56.388241677571735</v>
      </c>
      <c r="S29" s="7">
        <v>86.440677966101703</v>
      </c>
    </row>
    <row r="30" spans="1:19" x14ac:dyDescent="0.45">
      <c r="A30" s="21"/>
      <c r="B30" s="4" t="s">
        <v>16</v>
      </c>
      <c r="C30" s="8">
        <f>AVERAGE(C27:C29)</f>
        <v>1026.6752804915091</v>
      </c>
      <c r="D30" s="8">
        <f t="shared" ref="D30:K30" si="19">AVERAGE(D27:D29)</f>
        <v>13776.666666666666</v>
      </c>
      <c r="E30" s="12">
        <f t="shared" si="19"/>
        <v>85.31073446327683</v>
      </c>
      <c r="F30" s="8">
        <f t="shared" si="19"/>
        <v>0.85232807325150972</v>
      </c>
      <c r="G30" s="8">
        <f t="shared" si="19"/>
        <v>0.85325670498084261</v>
      </c>
      <c r="H30" s="8">
        <f t="shared" si="19"/>
        <v>0.84291187739463569</v>
      </c>
      <c r="I30" s="8">
        <f t="shared" si="19"/>
        <v>0.86206896551724099</v>
      </c>
      <c r="J30" s="8">
        <f t="shared" si="19"/>
        <v>0.86206896551724099</v>
      </c>
      <c r="K30" s="8">
        <f t="shared" si="19"/>
        <v>0.7062471253364313</v>
      </c>
      <c r="O30" s="21"/>
      <c r="P30" s="11" t="s">
        <v>16</v>
      </c>
      <c r="Q30" s="12">
        <f>AVERAGE(Q27:Q29)</f>
        <v>1026.6752804915091</v>
      </c>
      <c r="R30" s="12">
        <v>56.028640430670372</v>
      </c>
      <c r="S30" s="12">
        <f t="shared" ref="S30" si="20">AVERAGE(S27:S29)</f>
        <v>85.31073446327683</v>
      </c>
    </row>
    <row r="31" spans="1:19" x14ac:dyDescent="0.45">
      <c r="A31" s="21"/>
      <c r="B31" s="4" t="s">
        <v>17</v>
      </c>
      <c r="C31" s="8">
        <f>STDEV(C27:C29)</f>
        <v>263.4868516790084</v>
      </c>
      <c r="D31" s="8">
        <f t="shared" ref="D31:K31" si="21">STDEV(D27:D29)</f>
        <v>122.45951712028484</v>
      </c>
      <c r="E31" s="12">
        <f t="shared" si="21"/>
        <v>0.97855977828750895</v>
      </c>
      <c r="F31" s="8">
        <f t="shared" si="21"/>
        <v>8.4358601576506719E-3</v>
      </c>
      <c r="G31" s="8">
        <f t="shared" si="21"/>
        <v>9.6225044864939862E-3</v>
      </c>
      <c r="H31" s="8">
        <f t="shared" si="21"/>
        <v>1.6590524976713334E-2</v>
      </c>
      <c r="I31" s="8">
        <f t="shared" si="21"/>
        <v>0</v>
      </c>
      <c r="J31" s="8">
        <f t="shared" si="21"/>
        <v>0</v>
      </c>
      <c r="K31" s="8">
        <f t="shared" si="21"/>
        <v>1.9475618223095074E-2</v>
      </c>
      <c r="O31" s="21"/>
      <c r="P31" s="11" t="s">
        <v>17</v>
      </c>
      <c r="Q31" s="12">
        <f>STDEV(Q27:Q29)</f>
        <v>263.4868516790084</v>
      </c>
      <c r="R31" s="12">
        <v>0.39085735252716225</v>
      </c>
      <c r="S31" s="12">
        <f t="shared" ref="S31" si="22">STDEV(S27:S29)</f>
        <v>0.97855977828750895</v>
      </c>
    </row>
    <row r="32" spans="1:19" x14ac:dyDescent="0.45">
      <c r="A32" s="21" t="s">
        <v>32</v>
      </c>
      <c r="B32" s="4">
        <v>1</v>
      </c>
      <c r="C32" s="7">
        <v>9.7932293415069491</v>
      </c>
      <c r="D32" s="24">
        <v>20</v>
      </c>
      <c r="E32" s="15">
        <f>98.3050847457627/100</f>
        <v>0.98305084745762694</v>
      </c>
      <c r="F32" s="7">
        <v>0.98245614035087703</v>
      </c>
      <c r="G32" s="7">
        <v>0.98275862068965503</v>
      </c>
      <c r="H32" s="7">
        <v>1</v>
      </c>
      <c r="I32" s="7">
        <v>0.96551724137931005</v>
      </c>
      <c r="J32" s="7">
        <v>0.96551724137931005</v>
      </c>
      <c r="K32" s="7">
        <v>0.96607245543415698</v>
      </c>
      <c r="O32" s="21" t="s">
        <v>14</v>
      </c>
      <c r="P32" s="4">
        <v>1</v>
      </c>
      <c r="Q32" s="7">
        <v>9.7932293415069491</v>
      </c>
      <c r="R32" s="7">
        <v>99.936165459129938</v>
      </c>
      <c r="S32" s="7">
        <v>98.305084745762699</v>
      </c>
    </row>
    <row r="33" spans="1:19" x14ac:dyDescent="0.45">
      <c r="A33" s="21"/>
      <c r="B33" s="4">
        <v>2</v>
      </c>
      <c r="C33" s="7">
        <v>10.928653478622399</v>
      </c>
      <c r="D33" s="24">
        <v>12</v>
      </c>
      <c r="E33" s="15">
        <v>1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O33" s="21"/>
      <c r="P33" s="4">
        <v>2</v>
      </c>
      <c r="Q33" s="7">
        <v>10.928653478622399</v>
      </c>
      <c r="R33" s="7">
        <v>99.961699275477955</v>
      </c>
      <c r="S33" s="7">
        <v>100</v>
      </c>
    </row>
    <row r="34" spans="1:19" x14ac:dyDescent="0.45">
      <c r="A34" s="21"/>
      <c r="B34" s="4">
        <v>3</v>
      </c>
      <c r="C34" s="7">
        <v>20.214210510253899</v>
      </c>
      <c r="D34" s="24">
        <v>21</v>
      </c>
      <c r="E34" s="15">
        <f>98.3050847457627/100</f>
        <v>0.98305084745762694</v>
      </c>
      <c r="F34" s="7">
        <v>0.98245614035087703</v>
      </c>
      <c r="G34" s="7">
        <v>0.98275862068965503</v>
      </c>
      <c r="H34" s="7">
        <v>1</v>
      </c>
      <c r="I34" s="7">
        <v>0.96551724137931005</v>
      </c>
      <c r="J34" s="7">
        <v>0.96551724137931005</v>
      </c>
      <c r="K34" s="7">
        <v>0.96607245543415698</v>
      </c>
      <c r="O34" s="21"/>
      <c r="P34" s="4">
        <v>3</v>
      </c>
      <c r="Q34" s="7">
        <v>20.214210510253899</v>
      </c>
      <c r="R34" s="7">
        <v>99.932973732086438</v>
      </c>
      <c r="S34" s="7">
        <v>98.305084745762699</v>
      </c>
    </row>
    <row r="35" spans="1:19" x14ac:dyDescent="0.45">
      <c r="A35" s="21"/>
      <c r="B35" s="4" t="s">
        <v>16</v>
      </c>
      <c r="C35" s="8">
        <f>AVERAGE(C32:C34)</f>
        <v>13.645364443461082</v>
      </c>
      <c r="D35" s="8">
        <f t="shared" ref="D35:K35" si="23">AVERAGE(D32:D34)</f>
        <v>17.666666666666668</v>
      </c>
      <c r="E35" s="12">
        <f t="shared" si="23"/>
        <v>0.98870056497175129</v>
      </c>
      <c r="F35" s="8">
        <f t="shared" si="23"/>
        <v>0.98830409356725146</v>
      </c>
      <c r="G35" s="8">
        <f t="shared" si="23"/>
        <v>0.98850574712643668</v>
      </c>
      <c r="H35" s="8">
        <f t="shared" si="23"/>
        <v>1</v>
      </c>
      <c r="I35" s="8">
        <f t="shared" si="23"/>
        <v>0.97701149425287337</v>
      </c>
      <c r="J35" s="8">
        <f t="shared" si="23"/>
        <v>0.97701149425287337</v>
      </c>
      <c r="K35" s="8">
        <f t="shared" si="23"/>
        <v>0.97738163695610469</v>
      </c>
      <c r="O35" s="21"/>
      <c r="P35" s="11" t="s">
        <v>16</v>
      </c>
      <c r="Q35" s="12">
        <f>AVERAGE(Q32:Q34)</f>
        <v>13.645364443461082</v>
      </c>
      <c r="R35" s="12">
        <v>99.943612822231444</v>
      </c>
      <c r="S35" s="12">
        <f t="shared" ref="S35" si="24">AVERAGE(S32:S34)</f>
        <v>98.870056497175142</v>
      </c>
    </row>
    <row r="36" spans="1:19" x14ac:dyDescent="0.45">
      <c r="A36" s="21"/>
      <c r="B36" s="4" t="s">
        <v>17</v>
      </c>
      <c r="C36" s="8">
        <f>STDEV(C32:C34)</f>
        <v>5.717044776779411</v>
      </c>
      <c r="D36" s="8">
        <f t="shared" ref="D36:K36" si="25">STDEV(D32:D34)</f>
        <v>4.9328828623162453</v>
      </c>
      <c r="E36" s="12">
        <f t="shared" si="25"/>
        <v>9.7855977828751137E-3</v>
      </c>
      <c r="F36" s="8">
        <f t="shared" si="25"/>
        <v>1.012895209104616E-2</v>
      </c>
      <c r="G36" s="8">
        <f t="shared" si="25"/>
        <v>9.9543149860281139E-3</v>
      </c>
      <c r="H36" s="8">
        <f t="shared" si="25"/>
        <v>0</v>
      </c>
      <c r="I36" s="8">
        <f t="shared" si="25"/>
        <v>1.9908629972056228E-2</v>
      </c>
      <c r="J36" s="8">
        <f t="shared" si="25"/>
        <v>1.9908629972056228E-2</v>
      </c>
      <c r="K36" s="8">
        <f t="shared" si="25"/>
        <v>1.9588076988032489E-2</v>
      </c>
      <c r="O36" s="21"/>
      <c r="P36" s="11" t="s">
        <v>17</v>
      </c>
      <c r="Q36" s="12">
        <f>STDEV(Q32:Q34)</f>
        <v>5.717044776779411</v>
      </c>
      <c r="R36" s="12">
        <v>1.5744415634081781E-2</v>
      </c>
      <c r="S36" s="12">
        <f t="shared" ref="S36" si="26">STDEV(S32:S34)</f>
        <v>0.97855977828750895</v>
      </c>
    </row>
    <row r="37" spans="1:19" x14ac:dyDescent="0.45">
      <c r="A37" s="21" t="s">
        <v>27</v>
      </c>
      <c r="B37" s="4">
        <v>1</v>
      </c>
      <c r="C37" s="10">
        <v>157.99087309837299</v>
      </c>
      <c r="D37" s="25">
        <v>14170</v>
      </c>
      <c r="E37" s="10">
        <f>0.898305084745762</f>
        <v>0.89830508474576198</v>
      </c>
      <c r="F37" s="10">
        <v>0.89655172413793105</v>
      </c>
      <c r="G37" s="10">
        <v>0.89827586206896504</v>
      </c>
      <c r="H37" s="10">
        <v>0.89655172413793105</v>
      </c>
      <c r="I37" s="10">
        <v>0.89655172413793105</v>
      </c>
      <c r="J37" s="10">
        <v>0.89655172413793105</v>
      </c>
      <c r="K37" s="10">
        <v>0.79655172413793096</v>
      </c>
    </row>
    <row r="38" spans="1:19" x14ac:dyDescent="0.45">
      <c r="A38" s="21"/>
      <c r="B38" s="4">
        <v>2</v>
      </c>
      <c r="C38" s="10">
        <v>173.17331194877599</v>
      </c>
      <c r="D38" s="25">
        <v>14359</v>
      </c>
      <c r="E38" s="10">
        <f>0.898305084745762</f>
        <v>0.89830508474576198</v>
      </c>
      <c r="F38" s="10">
        <v>0.89655172413793105</v>
      </c>
      <c r="G38" s="10">
        <v>0.89827586206896504</v>
      </c>
      <c r="H38" s="10">
        <v>0.89655172413793105</v>
      </c>
      <c r="I38" s="10">
        <v>0.89655172413793105</v>
      </c>
      <c r="J38" s="10">
        <v>0.89655172413793105</v>
      </c>
      <c r="K38" s="10">
        <v>0.79655172413793096</v>
      </c>
    </row>
    <row r="39" spans="1:19" x14ac:dyDescent="0.45">
      <c r="A39" s="21"/>
      <c r="B39" s="4">
        <v>3</v>
      </c>
      <c r="C39" s="10">
        <v>140.20636749267501</v>
      </c>
      <c r="D39" s="25">
        <v>14355</v>
      </c>
      <c r="E39" s="10">
        <f>0.898305084745762</f>
        <v>0.89830508474576198</v>
      </c>
      <c r="F39" s="10">
        <v>0.89655172413793105</v>
      </c>
      <c r="G39" s="10">
        <v>0.89827586206896504</v>
      </c>
      <c r="H39" s="10">
        <v>0.89655172413793105</v>
      </c>
      <c r="I39" s="10">
        <v>0.89655172413793105</v>
      </c>
      <c r="J39" s="10">
        <v>0.89655172413793105</v>
      </c>
      <c r="K39" s="10">
        <v>0.79655172413793096</v>
      </c>
    </row>
    <row r="40" spans="1:19" x14ac:dyDescent="0.45">
      <c r="A40" s="21"/>
      <c r="B40" s="19" t="s">
        <v>16</v>
      </c>
      <c r="C40" s="3">
        <f>AVERAGE(C37:C39)</f>
        <v>157.12351751327466</v>
      </c>
      <c r="D40" s="3">
        <f t="shared" ref="D40:K40" si="27">AVERAGE(D37:D39)</f>
        <v>14294.666666666666</v>
      </c>
      <c r="E40" s="13">
        <f t="shared" si="27"/>
        <v>0.89830508474576198</v>
      </c>
      <c r="F40" s="3">
        <f t="shared" si="27"/>
        <v>0.89655172413793105</v>
      </c>
      <c r="G40" s="3">
        <f t="shared" si="27"/>
        <v>0.89827586206896504</v>
      </c>
      <c r="H40" s="3">
        <f t="shared" si="27"/>
        <v>0.89655172413793105</v>
      </c>
      <c r="I40" s="3">
        <f t="shared" si="27"/>
        <v>0.89655172413793105</v>
      </c>
      <c r="J40" s="3">
        <f t="shared" si="27"/>
        <v>0.89655172413793105</v>
      </c>
      <c r="K40" s="3">
        <f t="shared" si="27"/>
        <v>0.79655172413793096</v>
      </c>
    </row>
    <row r="41" spans="1:19" x14ac:dyDescent="0.45">
      <c r="A41" s="21"/>
      <c r="B41" s="19" t="s">
        <v>17</v>
      </c>
      <c r="C41" s="3">
        <f>STDEV(C37:C39)</f>
        <v>16.5005783527779</v>
      </c>
      <c r="D41" s="3">
        <f t="shared" ref="D41:K41" si="28">STDEV(D37:D39)</f>
        <v>107.9830233570691</v>
      </c>
      <c r="E41" s="13">
        <f t="shared" si="28"/>
        <v>0</v>
      </c>
      <c r="F41" s="3">
        <f t="shared" si="28"/>
        <v>0</v>
      </c>
      <c r="G41" s="3">
        <f t="shared" si="28"/>
        <v>0</v>
      </c>
      <c r="H41" s="3">
        <f t="shared" si="28"/>
        <v>0</v>
      </c>
      <c r="I41" s="3">
        <f t="shared" si="28"/>
        <v>0</v>
      </c>
      <c r="J41" s="3">
        <f t="shared" si="28"/>
        <v>0</v>
      </c>
      <c r="K41" s="3">
        <f t="shared" si="28"/>
        <v>0</v>
      </c>
    </row>
    <row r="42" spans="1:19" x14ac:dyDescent="0.45">
      <c r="A42" s="21" t="s">
        <v>33</v>
      </c>
      <c r="B42" s="4">
        <v>1</v>
      </c>
      <c r="C42" s="10">
        <v>0.317965507507324</v>
      </c>
      <c r="D42" s="25">
        <v>15</v>
      </c>
      <c r="E42" s="10">
        <f>1</f>
        <v>1</v>
      </c>
      <c r="F42" s="10">
        <v>1</v>
      </c>
      <c r="G42" s="10">
        <v>1</v>
      </c>
      <c r="H42" s="10">
        <v>1</v>
      </c>
      <c r="I42" s="10">
        <v>1</v>
      </c>
      <c r="J42" s="10">
        <v>1</v>
      </c>
      <c r="K42" s="10">
        <v>1</v>
      </c>
    </row>
    <row r="43" spans="1:19" x14ac:dyDescent="0.45">
      <c r="A43" s="21"/>
      <c r="B43" s="4">
        <v>2</v>
      </c>
      <c r="C43" s="10">
        <v>0.27662563323974598</v>
      </c>
      <c r="D43" s="25">
        <v>10</v>
      </c>
      <c r="E43" s="10">
        <f>1</f>
        <v>1</v>
      </c>
      <c r="F43" s="10">
        <v>1</v>
      </c>
      <c r="G43" s="10">
        <v>1</v>
      </c>
      <c r="H43" s="10">
        <v>1</v>
      </c>
      <c r="I43" s="10">
        <v>1</v>
      </c>
      <c r="J43" s="10">
        <v>1</v>
      </c>
      <c r="K43" s="10">
        <v>1</v>
      </c>
    </row>
    <row r="44" spans="1:19" x14ac:dyDescent="0.45">
      <c r="A44" s="21"/>
      <c r="B44" s="4">
        <v>3</v>
      </c>
      <c r="C44" s="10">
        <v>0.25996613502502403</v>
      </c>
      <c r="D44" s="25">
        <v>17</v>
      </c>
      <c r="E44" s="10">
        <f>1</f>
        <v>1</v>
      </c>
      <c r="F44" s="10">
        <v>1</v>
      </c>
      <c r="G44" s="10">
        <v>1</v>
      </c>
      <c r="H44" s="10">
        <v>1</v>
      </c>
      <c r="I44" s="10">
        <v>1</v>
      </c>
      <c r="J44" s="10">
        <v>1</v>
      </c>
      <c r="K44" s="10">
        <v>1</v>
      </c>
    </row>
    <row r="45" spans="1:19" x14ac:dyDescent="0.45">
      <c r="A45" s="21"/>
      <c r="B45" s="19" t="s">
        <v>16</v>
      </c>
      <c r="C45" s="3">
        <f>AVERAGE(C42:C44)</f>
        <v>0.28485242525736471</v>
      </c>
      <c r="D45" s="3">
        <f t="shared" ref="D45:K45" si="29">AVERAGE(D42:D44)</f>
        <v>14</v>
      </c>
      <c r="E45" s="13">
        <f t="shared" si="29"/>
        <v>1</v>
      </c>
      <c r="F45" s="3">
        <f t="shared" si="29"/>
        <v>1</v>
      </c>
      <c r="G45" s="3">
        <f t="shared" si="29"/>
        <v>1</v>
      </c>
      <c r="H45" s="3">
        <f t="shared" si="29"/>
        <v>1</v>
      </c>
      <c r="I45" s="3">
        <f t="shared" si="29"/>
        <v>1</v>
      </c>
      <c r="J45" s="3">
        <f t="shared" si="29"/>
        <v>1</v>
      </c>
      <c r="K45" s="3">
        <f t="shared" si="29"/>
        <v>1</v>
      </c>
    </row>
    <row r="46" spans="1:19" x14ac:dyDescent="0.45">
      <c r="A46" s="21"/>
      <c r="B46" s="19" t="s">
        <v>17</v>
      </c>
      <c r="C46" s="3">
        <f>STDEV(C42:C44)</f>
        <v>2.9862047522917941E-2</v>
      </c>
      <c r="D46" s="3">
        <f t="shared" ref="D46:K46" si="30">STDEV(D42:D44)</f>
        <v>3.6055512754639891</v>
      </c>
      <c r="E46" s="13">
        <f t="shared" si="30"/>
        <v>0</v>
      </c>
      <c r="F46" s="3">
        <f t="shared" si="30"/>
        <v>0</v>
      </c>
      <c r="G46" s="3">
        <f t="shared" si="30"/>
        <v>0</v>
      </c>
      <c r="H46" s="3">
        <f t="shared" si="30"/>
        <v>0</v>
      </c>
      <c r="I46" s="3">
        <f t="shared" si="30"/>
        <v>0</v>
      </c>
      <c r="J46" s="3">
        <f t="shared" si="30"/>
        <v>0</v>
      </c>
      <c r="K46" s="3">
        <f t="shared" si="30"/>
        <v>0</v>
      </c>
    </row>
    <row r="47" spans="1:19" x14ac:dyDescent="0.45">
      <c r="A47" s="21" t="s">
        <v>28</v>
      </c>
      <c r="B47" s="4">
        <v>1</v>
      </c>
      <c r="C47" s="10">
        <v>134.763572454452</v>
      </c>
      <c r="D47" s="25">
        <v>200</v>
      </c>
      <c r="E47" s="10">
        <f>0.932203389830508</f>
        <v>0.93220338983050799</v>
      </c>
      <c r="F47" s="10">
        <v>0.93103448275862</v>
      </c>
      <c r="G47" s="10">
        <v>0.93218390804597695</v>
      </c>
      <c r="H47" s="10">
        <v>0.93103448275862</v>
      </c>
      <c r="I47" s="10">
        <v>0.93103448275862</v>
      </c>
      <c r="J47" s="10">
        <v>0.93103448275862</v>
      </c>
      <c r="K47" s="10">
        <v>0.86436781609195401</v>
      </c>
    </row>
    <row r="48" spans="1:19" x14ac:dyDescent="0.45">
      <c r="A48" s="21"/>
      <c r="B48" s="4">
        <v>2</v>
      </c>
      <c r="C48" s="10">
        <v>219.95717048645</v>
      </c>
      <c r="D48" s="25">
        <v>210</v>
      </c>
      <c r="E48" s="10">
        <f>0.932203389830508</f>
        <v>0.93220338983050799</v>
      </c>
      <c r="F48" s="10">
        <v>0.93103448275862</v>
      </c>
      <c r="G48" s="10">
        <v>0.93218390804597695</v>
      </c>
      <c r="H48" s="10">
        <v>0.93103448275862</v>
      </c>
      <c r="I48" s="10">
        <v>0.93103448275862</v>
      </c>
      <c r="J48" s="10">
        <v>0.93103448275862</v>
      </c>
      <c r="K48" s="10">
        <v>0.86436781609195401</v>
      </c>
    </row>
    <row r="49" spans="1:11" x14ac:dyDescent="0.45">
      <c r="A49" s="21"/>
      <c r="B49" s="4">
        <v>3</v>
      </c>
      <c r="C49" s="10">
        <v>232.64431309700001</v>
      </c>
      <c r="D49" s="25">
        <v>476</v>
      </c>
      <c r="E49" s="10">
        <f>0.932203389830508</f>
        <v>0.93220338983050799</v>
      </c>
      <c r="F49" s="10">
        <v>0.93103448275862</v>
      </c>
      <c r="G49" s="10">
        <v>0.93218390804597695</v>
      </c>
      <c r="H49" s="10">
        <v>0.93103448275862</v>
      </c>
      <c r="I49" s="10">
        <v>0.93103448275862</v>
      </c>
      <c r="J49" s="10">
        <v>0.93103448275862</v>
      </c>
      <c r="K49" s="10">
        <v>0.86436781609195401</v>
      </c>
    </row>
    <row r="50" spans="1:11" x14ac:dyDescent="0.45">
      <c r="A50" s="21"/>
      <c r="B50" s="19" t="s">
        <v>16</v>
      </c>
      <c r="C50" s="3">
        <f>AVERAGE(C47:C49)</f>
        <v>195.78835201263402</v>
      </c>
      <c r="D50" s="3">
        <f t="shared" ref="D50:K50" si="31">AVERAGE(D47:D49)</f>
        <v>295.33333333333331</v>
      </c>
      <c r="E50" s="13">
        <f t="shared" si="31"/>
        <v>0.9322033898305081</v>
      </c>
      <c r="F50" s="3">
        <f t="shared" si="31"/>
        <v>0.93103448275862</v>
      </c>
      <c r="G50" s="3">
        <f t="shared" si="31"/>
        <v>0.93218390804597695</v>
      </c>
      <c r="H50" s="3">
        <f t="shared" si="31"/>
        <v>0.93103448275862</v>
      </c>
      <c r="I50" s="3">
        <f t="shared" si="31"/>
        <v>0.93103448275862</v>
      </c>
      <c r="J50" s="3">
        <f t="shared" si="31"/>
        <v>0.93103448275862</v>
      </c>
      <c r="K50" s="3">
        <f t="shared" si="31"/>
        <v>0.86436781609195401</v>
      </c>
    </row>
    <row r="51" spans="1:11" x14ac:dyDescent="0.45">
      <c r="A51" s="21"/>
      <c r="B51" s="19" t="s">
        <v>17</v>
      </c>
      <c r="C51" s="3">
        <f>STDEV(C47:C49)</f>
        <v>53.228363557398993</v>
      </c>
      <c r="D51" s="3">
        <f t="shared" ref="D51:K51" si="32">STDEV(D47:D49)</f>
        <v>156.54179420631837</v>
      </c>
      <c r="E51" s="13">
        <f t="shared" si="32"/>
        <v>1.3597399555105182E-16</v>
      </c>
      <c r="F51" s="3">
        <f t="shared" si="32"/>
        <v>0</v>
      </c>
      <c r="G51" s="3">
        <f t="shared" si="32"/>
        <v>0</v>
      </c>
      <c r="H51" s="3">
        <f t="shared" si="32"/>
        <v>0</v>
      </c>
      <c r="I51" s="3">
        <f t="shared" si="32"/>
        <v>0</v>
      </c>
      <c r="J51" s="3">
        <f t="shared" si="32"/>
        <v>0</v>
      </c>
      <c r="K51" s="3">
        <f t="shared" si="32"/>
        <v>0</v>
      </c>
    </row>
    <row r="52" spans="1:11" x14ac:dyDescent="0.45">
      <c r="A52" s="21" t="s">
        <v>34</v>
      </c>
      <c r="B52" s="4">
        <v>1</v>
      </c>
      <c r="C52" s="10">
        <v>18.708124637603699</v>
      </c>
      <c r="D52" s="25">
        <v>11</v>
      </c>
      <c r="E52" s="10">
        <v>1</v>
      </c>
      <c r="F52" s="10">
        <v>1</v>
      </c>
      <c r="G52" s="10">
        <v>1</v>
      </c>
      <c r="H52" s="10">
        <v>1</v>
      </c>
      <c r="I52" s="10">
        <v>1</v>
      </c>
      <c r="J52" s="10">
        <v>1</v>
      </c>
      <c r="K52" s="10">
        <v>1</v>
      </c>
    </row>
    <row r="53" spans="1:11" x14ac:dyDescent="0.45">
      <c r="A53" s="21"/>
      <c r="B53" s="4">
        <v>2</v>
      </c>
      <c r="C53" s="10">
        <v>18.446405172348001</v>
      </c>
      <c r="D53" s="25">
        <v>13</v>
      </c>
      <c r="E53" s="10">
        <v>1</v>
      </c>
      <c r="F53" s="10">
        <v>1</v>
      </c>
      <c r="G53" s="10">
        <v>1</v>
      </c>
      <c r="H53" s="10">
        <v>1</v>
      </c>
      <c r="I53" s="10">
        <v>1</v>
      </c>
      <c r="J53" s="10">
        <v>1</v>
      </c>
      <c r="K53" s="10">
        <v>1</v>
      </c>
    </row>
    <row r="54" spans="1:11" x14ac:dyDescent="0.45">
      <c r="A54" s="21"/>
      <c r="B54" s="4">
        <v>3</v>
      </c>
      <c r="C54" s="10">
        <v>19.334470033645601</v>
      </c>
      <c r="D54" s="25">
        <v>11</v>
      </c>
      <c r="E54" s="10">
        <v>1</v>
      </c>
      <c r="F54" s="10">
        <v>1</v>
      </c>
      <c r="G54" s="10">
        <v>1</v>
      </c>
      <c r="H54" s="10">
        <v>1</v>
      </c>
      <c r="I54" s="10">
        <v>1</v>
      </c>
      <c r="J54" s="10">
        <v>1</v>
      </c>
      <c r="K54" s="10">
        <v>1</v>
      </c>
    </row>
    <row r="55" spans="1:11" x14ac:dyDescent="0.45">
      <c r="A55" s="21"/>
      <c r="B55" s="19" t="s">
        <v>16</v>
      </c>
      <c r="C55" s="3">
        <f>AVERAGE(C52:C54)</f>
        <v>18.829666614532432</v>
      </c>
      <c r="D55" s="3">
        <f t="shared" ref="D55:K55" si="33">AVERAGE(D52:D54)</f>
        <v>11.666666666666666</v>
      </c>
      <c r="E55" s="13">
        <f t="shared" si="33"/>
        <v>1</v>
      </c>
      <c r="F55" s="3">
        <f t="shared" si="33"/>
        <v>1</v>
      </c>
      <c r="G55" s="3">
        <f t="shared" si="33"/>
        <v>1</v>
      </c>
      <c r="H55" s="3">
        <f t="shared" si="33"/>
        <v>1</v>
      </c>
      <c r="I55" s="3">
        <f t="shared" si="33"/>
        <v>1</v>
      </c>
      <c r="J55" s="3">
        <f t="shared" si="33"/>
        <v>1</v>
      </c>
      <c r="K55" s="3">
        <f t="shared" si="33"/>
        <v>1</v>
      </c>
    </row>
    <row r="56" spans="1:11" x14ac:dyDescent="0.45">
      <c r="A56" s="21"/>
      <c r="B56" s="19" t="s">
        <v>17</v>
      </c>
      <c r="C56" s="3">
        <f>STDEV(C52:C54)</f>
        <v>0.45633774617567013</v>
      </c>
      <c r="D56" s="3">
        <f t="shared" ref="D56:K56" si="34">STDEV(D52:D54)</f>
        <v>1.1547005383792517</v>
      </c>
      <c r="E56" s="13">
        <f t="shared" si="34"/>
        <v>0</v>
      </c>
      <c r="F56" s="3">
        <f t="shared" si="34"/>
        <v>0</v>
      </c>
      <c r="G56" s="3">
        <f t="shared" si="34"/>
        <v>0</v>
      </c>
      <c r="H56" s="3">
        <f t="shared" si="34"/>
        <v>0</v>
      </c>
      <c r="I56" s="3">
        <f t="shared" si="34"/>
        <v>0</v>
      </c>
      <c r="J56" s="3">
        <f t="shared" si="34"/>
        <v>0</v>
      </c>
      <c r="K56" s="3">
        <f t="shared" si="34"/>
        <v>0</v>
      </c>
    </row>
    <row r="57" spans="1:11" x14ac:dyDescent="0.45">
      <c r="B57"/>
      <c r="C57"/>
      <c r="D57"/>
      <c r="E57" s="16"/>
      <c r="F57"/>
      <c r="G57"/>
      <c r="H57"/>
      <c r="I57"/>
      <c r="J57"/>
      <c r="K57"/>
    </row>
    <row r="58" spans="1:11" x14ac:dyDescent="0.45">
      <c r="B58"/>
      <c r="C58"/>
      <c r="D58"/>
      <c r="E58" s="16"/>
      <c r="F58"/>
      <c r="G58"/>
      <c r="H58"/>
      <c r="I58"/>
      <c r="J58"/>
      <c r="K58"/>
    </row>
    <row r="59" spans="1:11" x14ac:dyDescent="0.45">
      <c r="B59"/>
      <c r="C59"/>
      <c r="D59"/>
      <c r="E59" s="16"/>
      <c r="F59"/>
      <c r="G59"/>
      <c r="H59"/>
      <c r="I59"/>
      <c r="J59"/>
      <c r="K59"/>
    </row>
    <row r="60" spans="1:11" x14ac:dyDescent="0.45">
      <c r="B60"/>
      <c r="C60"/>
      <c r="D60"/>
      <c r="E60" s="16"/>
      <c r="F60"/>
      <c r="G60"/>
      <c r="H60"/>
      <c r="I60"/>
      <c r="J60"/>
      <c r="K60"/>
    </row>
    <row r="61" spans="1:11" x14ac:dyDescent="0.45">
      <c r="B61"/>
      <c r="C61"/>
      <c r="D61"/>
      <c r="E61" s="16"/>
      <c r="F61"/>
      <c r="G61"/>
      <c r="H61"/>
      <c r="I61"/>
      <c r="J61"/>
      <c r="K61"/>
    </row>
    <row r="62" spans="1:11" x14ac:dyDescent="0.45">
      <c r="B62"/>
      <c r="C62"/>
      <c r="D62"/>
      <c r="E62" s="16"/>
      <c r="F62"/>
      <c r="G62"/>
      <c r="H62"/>
      <c r="I62"/>
      <c r="J62"/>
      <c r="K62"/>
    </row>
    <row r="63" spans="1:11" x14ac:dyDescent="0.45">
      <c r="B63"/>
      <c r="C63"/>
      <c r="D63"/>
      <c r="E63" s="16"/>
      <c r="F63"/>
      <c r="G63"/>
      <c r="H63"/>
      <c r="I63"/>
      <c r="J63"/>
      <c r="K63"/>
    </row>
    <row r="64" spans="1:11" x14ac:dyDescent="0.45">
      <c r="B64"/>
      <c r="C64"/>
      <c r="D64"/>
      <c r="E64" s="16"/>
      <c r="F64"/>
      <c r="G64"/>
      <c r="H64"/>
      <c r="I64"/>
      <c r="J64"/>
      <c r="K64"/>
    </row>
    <row r="65" spans="5:5" customFormat="1" x14ac:dyDescent="0.45">
      <c r="E65" s="16"/>
    </row>
    <row r="66" spans="5:5" customFormat="1" x14ac:dyDescent="0.45">
      <c r="E66" s="16"/>
    </row>
    <row r="67" spans="5:5" customFormat="1" x14ac:dyDescent="0.45">
      <c r="E67" s="16"/>
    </row>
    <row r="68" spans="5:5" customFormat="1" x14ac:dyDescent="0.45">
      <c r="E68" s="16"/>
    </row>
    <row r="69" spans="5:5" customFormat="1" x14ac:dyDescent="0.45">
      <c r="E69" s="16"/>
    </row>
    <row r="70" spans="5:5" customFormat="1" x14ac:dyDescent="0.45">
      <c r="E70" s="16"/>
    </row>
    <row r="71" spans="5:5" customFormat="1" x14ac:dyDescent="0.45">
      <c r="E71" s="16"/>
    </row>
    <row r="72" spans="5:5" customFormat="1" x14ac:dyDescent="0.45">
      <c r="E72" s="16"/>
    </row>
    <row r="73" spans="5:5" customFormat="1" x14ac:dyDescent="0.45">
      <c r="E73" s="16"/>
    </row>
    <row r="74" spans="5:5" customFormat="1" x14ac:dyDescent="0.45">
      <c r="E74" s="16"/>
    </row>
    <row r="75" spans="5:5" customFormat="1" x14ac:dyDescent="0.45">
      <c r="E75" s="16"/>
    </row>
    <row r="76" spans="5:5" customFormat="1" x14ac:dyDescent="0.45">
      <c r="E76" s="16"/>
    </row>
    <row r="77" spans="5:5" customFormat="1" x14ac:dyDescent="0.45">
      <c r="E77" s="16"/>
    </row>
    <row r="78" spans="5:5" customFormat="1" x14ac:dyDescent="0.45">
      <c r="E78" s="16"/>
    </row>
    <row r="79" spans="5:5" customFormat="1" x14ac:dyDescent="0.45">
      <c r="E79" s="16"/>
    </row>
    <row r="80" spans="5:5" customFormat="1" x14ac:dyDescent="0.45">
      <c r="E80" s="16"/>
    </row>
    <row r="81" spans="5:5" customFormat="1" x14ac:dyDescent="0.45">
      <c r="E81" s="16"/>
    </row>
    <row r="82" spans="5:5" customFormat="1" x14ac:dyDescent="0.45">
      <c r="E82" s="16"/>
    </row>
    <row r="83" spans="5:5" customFormat="1" x14ac:dyDescent="0.45">
      <c r="E83" s="16"/>
    </row>
    <row r="84" spans="5:5" customFormat="1" x14ac:dyDescent="0.45">
      <c r="E84" s="16"/>
    </row>
    <row r="85" spans="5:5" customFormat="1" x14ac:dyDescent="0.45">
      <c r="E85" s="16"/>
    </row>
    <row r="86" spans="5:5" customFormat="1" x14ac:dyDescent="0.45">
      <c r="E86" s="16"/>
    </row>
    <row r="87" spans="5:5" customFormat="1" x14ac:dyDescent="0.45">
      <c r="E87" s="16"/>
    </row>
    <row r="88" spans="5:5" customFormat="1" x14ac:dyDescent="0.45">
      <c r="E88" s="16"/>
    </row>
    <row r="89" spans="5:5" customFormat="1" x14ac:dyDescent="0.45">
      <c r="E89" s="16"/>
    </row>
    <row r="90" spans="5:5" customFormat="1" x14ac:dyDescent="0.45">
      <c r="E90" s="16"/>
    </row>
    <row r="91" spans="5:5" customFormat="1" x14ac:dyDescent="0.45">
      <c r="E91" s="16"/>
    </row>
    <row r="92" spans="5:5" customFormat="1" x14ac:dyDescent="0.45">
      <c r="E92" s="16"/>
    </row>
    <row r="93" spans="5:5" customFormat="1" x14ac:dyDescent="0.45">
      <c r="E93" s="16"/>
    </row>
    <row r="94" spans="5:5" customFormat="1" x14ac:dyDescent="0.45">
      <c r="E94" s="16"/>
    </row>
    <row r="95" spans="5:5" customFormat="1" x14ac:dyDescent="0.45">
      <c r="E95" s="16"/>
    </row>
    <row r="96" spans="5:5" customFormat="1" x14ac:dyDescent="0.45">
      <c r="E96" s="16"/>
    </row>
    <row r="97" spans="5:5" customFormat="1" x14ac:dyDescent="0.45">
      <c r="E97" s="16"/>
    </row>
    <row r="98" spans="5:5" customFormat="1" x14ac:dyDescent="0.45">
      <c r="E98" s="16"/>
    </row>
    <row r="99" spans="5:5" customFormat="1" x14ac:dyDescent="0.45">
      <c r="E99" s="16"/>
    </row>
    <row r="100" spans="5:5" customFormat="1" x14ac:dyDescent="0.45">
      <c r="E100" s="16"/>
    </row>
    <row r="101" spans="5:5" customFormat="1" x14ac:dyDescent="0.45">
      <c r="E101" s="16"/>
    </row>
    <row r="102" spans="5:5" customFormat="1" x14ac:dyDescent="0.45">
      <c r="E102" s="16"/>
    </row>
    <row r="103" spans="5:5" customFormat="1" x14ac:dyDescent="0.45">
      <c r="E103" s="16"/>
    </row>
    <row r="104" spans="5:5" customFormat="1" x14ac:dyDescent="0.45">
      <c r="E104" s="16"/>
    </row>
    <row r="105" spans="5:5" customFormat="1" x14ac:dyDescent="0.45">
      <c r="E105" s="16"/>
    </row>
    <row r="106" spans="5:5" customFormat="1" x14ac:dyDescent="0.45">
      <c r="E106" s="16"/>
    </row>
    <row r="107" spans="5:5" customFormat="1" x14ac:dyDescent="0.45">
      <c r="E107" s="16"/>
    </row>
    <row r="108" spans="5:5" customFormat="1" x14ac:dyDescent="0.45">
      <c r="E108" s="16"/>
    </row>
    <row r="109" spans="5:5" customFormat="1" x14ac:dyDescent="0.45">
      <c r="E109" s="16"/>
    </row>
    <row r="110" spans="5:5" customFormat="1" x14ac:dyDescent="0.45">
      <c r="E110" s="16"/>
    </row>
    <row r="111" spans="5:5" customFormat="1" x14ac:dyDescent="0.45">
      <c r="E111" s="16"/>
    </row>
    <row r="112" spans="5:5" customFormat="1" x14ac:dyDescent="0.45">
      <c r="E112" s="16"/>
    </row>
    <row r="113" spans="5:5" customFormat="1" x14ac:dyDescent="0.45">
      <c r="E113" s="16"/>
    </row>
    <row r="114" spans="5:5" customFormat="1" x14ac:dyDescent="0.45">
      <c r="E114" s="16"/>
    </row>
    <row r="115" spans="5:5" customFormat="1" x14ac:dyDescent="0.45">
      <c r="E115" s="16"/>
    </row>
    <row r="116" spans="5:5" customFormat="1" x14ac:dyDescent="0.45">
      <c r="E116" s="16"/>
    </row>
    <row r="117" spans="5:5" customFormat="1" x14ac:dyDescent="0.45">
      <c r="E117" s="16"/>
    </row>
    <row r="118" spans="5:5" customFormat="1" x14ac:dyDescent="0.45">
      <c r="E118" s="16"/>
    </row>
    <row r="119" spans="5:5" customFormat="1" x14ac:dyDescent="0.45">
      <c r="E119" s="16"/>
    </row>
    <row r="120" spans="5:5" customFormat="1" x14ac:dyDescent="0.45">
      <c r="E120" s="16"/>
    </row>
    <row r="121" spans="5:5" customFormat="1" x14ac:dyDescent="0.45">
      <c r="E121" s="16"/>
    </row>
    <row r="122" spans="5:5" customFormat="1" x14ac:dyDescent="0.45">
      <c r="E122" s="16"/>
    </row>
    <row r="123" spans="5:5" customFormat="1" x14ac:dyDescent="0.45">
      <c r="E123" s="16"/>
    </row>
    <row r="124" spans="5:5" customFormat="1" x14ac:dyDescent="0.45">
      <c r="E124" s="16"/>
    </row>
    <row r="125" spans="5:5" customFormat="1" x14ac:dyDescent="0.45">
      <c r="E125" s="16"/>
    </row>
    <row r="126" spans="5:5" customFormat="1" x14ac:dyDescent="0.45">
      <c r="E126" s="16"/>
    </row>
    <row r="127" spans="5:5" customFormat="1" x14ac:dyDescent="0.45">
      <c r="E127" s="16"/>
    </row>
    <row r="128" spans="5:5" customFormat="1" x14ac:dyDescent="0.45">
      <c r="E128" s="16"/>
    </row>
    <row r="129" spans="5:5" customFormat="1" x14ac:dyDescent="0.45">
      <c r="E129" s="16"/>
    </row>
    <row r="130" spans="5:5" customFormat="1" x14ac:dyDescent="0.45">
      <c r="E130" s="16"/>
    </row>
    <row r="131" spans="5:5" customFormat="1" x14ac:dyDescent="0.45">
      <c r="E131" s="16"/>
    </row>
    <row r="132" spans="5:5" customFormat="1" x14ac:dyDescent="0.45">
      <c r="E132" s="16"/>
    </row>
    <row r="133" spans="5:5" customFormat="1" x14ac:dyDescent="0.45">
      <c r="E133" s="16"/>
    </row>
    <row r="134" spans="5:5" customFormat="1" x14ac:dyDescent="0.45">
      <c r="E134" s="16"/>
    </row>
    <row r="135" spans="5:5" customFormat="1" x14ac:dyDescent="0.45">
      <c r="E135" s="16"/>
    </row>
    <row r="136" spans="5:5" customFormat="1" x14ac:dyDescent="0.45">
      <c r="E136" s="16"/>
    </row>
    <row r="137" spans="5:5" customFormat="1" x14ac:dyDescent="0.45">
      <c r="E137" s="16"/>
    </row>
    <row r="138" spans="5:5" customFormat="1" x14ac:dyDescent="0.45">
      <c r="E138" s="16"/>
    </row>
    <row r="139" spans="5:5" customFormat="1" x14ac:dyDescent="0.45">
      <c r="E139" s="16"/>
    </row>
    <row r="140" spans="5:5" customFormat="1" x14ac:dyDescent="0.45">
      <c r="E140" s="16"/>
    </row>
    <row r="141" spans="5:5" customFormat="1" x14ac:dyDescent="0.45">
      <c r="E141" s="16"/>
    </row>
    <row r="142" spans="5:5" customFormat="1" x14ac:dyDescent="0.45">
      <c r="E142" s="16"/>
    </row>
    <row r="143" spans="5:5" customFormat="1" x14ac:dyDescent="0.45">
      <c r="E143" s="16"/>
    </row>
    <row r="144" spans="5:5" customFormat="1" x14ac:dyDescent="0.45">
      <c r="E144" s="16"/>
    </row>
    <row r="145" spans="5:5" customFormat="1" x14ac:dyDescent="0.45">
      <c r="E145" s="16"/>
    </row>
    <row r="146" spans="5:5" customFormat="1" x14ac:dyDescent="0.45">
      <c r="E146" s="16"/>
    </row>
    <row r="147" spans="5:5" customFormat="1" x14ac:dyDescent="0.45">
      <c r="E147" s="16"/>
    </row>
    <row r="148" spans="5:5" customFormat="1" x14ac:dyDescent="0.45">
      <c r="E148" s="16"/>
    </row>
    <row r="149" spans="5:5" customFormat="1" x14ac:dyDescent="0.45">
      <c r="E149" s="16"/>
    </row>
    <row r="150" spans="5:5" customFormat="1" x14ac:dyDescent="0.45">
      <c r="E150" s="16"/>
    </row>
    <row r="151" spans="5:5" customFormat="1" x14ac:dyDescent="0.45">
      <c r="E151" s="16"/>
    </row>
    <row r="152" spans="5:5" customFormat="1" x14ac:dyDescent="0.45">
      <c r="E152" s="16"/>
    </row>
    <row r="153" spans="5:5" customFormat="1" x14ac:dyDescent="0.45">
      <c r="E153" s="16"/>
    </row>
    <row r="154" spans="5:5" customFormat="1" x14ac:dyDescent="0.45">
      <c r="E154" s="16"/>
    </row>
    <row r="155" spans="5:5" customFormat="1" x14ac:dyDescent="0.45">
      <c r="E155" s="16"/>
    </row>
    <row r="156" spans="5:5" customFormat="1" x14ac:dyDescent="0.45">
      <c r="E156" s="16"/>
    </row>
    <row r="157" spans="5:5" customFormat="1" x14ac:dyDescent="0.45">
      <c r="E157" s="16"/>
    </row>
    <row r="158" spans="5:5" customFormat="1" x14ac:dyDescent="0.45">
      <c r="E158" s="16"/>
    </row>
    <row r="159" spans="5:5" customFormat="1" x14ac:dyDescent="0.45">
      <c r="E159" s="16"/>
    </row>
    <row r="160" spans="5:5" customFormat="1" x14ac:dyDescent="0.45">
      <c r="E160" s="16"/>
    </row>
    <row r="161" spans="5:5" customFormat="1" x14ac:dyDescent="0.45">
      <c r="E161" s="16"/>
    </row>
    <row r="162" spans="5:5" customFormat="1" x14ac:dyDescent="0.45">
      <c r="E162" s="16"/>
    </row>
    <row r="163" spans="5:5" customFormat="1" x14ac:dyDescent="0.45">
      <c r="E163" s="16"/>
    </row>
    <row r="164" spans="5:5" customFormat="1" x14ac:dyDescent="0.45">
      <c r="E164" s="16"/>
    </row>
    <row r="165" spans="5:5" customFormat="1" x14ac:dyDescent="0.45">
      <c r="E165" s="16"/>
    </row>
    <row r="166" spans="5:5" customFormat="1" x14ac:dyDescent="0.45">
      <c r="E166" s="16"/>
    </row>
    <row r="167" spans="5:5" customFormat="1" x14ac:dyDescent="0.45">
      <c r="E167" s="16"/>
    </row>
    <row r="168" spans="5:5" customFormat="1" x14ac:dyDescent="0.45">
      <c r="E168" s="16"/>
    </row>
    <row r="169" spans="5:5" customFormat="1" x14ac:dyDescent="0.45">
      <c r="E169" s="16"/>
    </row>
    <row r="170" spans="5:5" customFormat="1" x14ac:dyDescent="0.45">
      <c r="E170" s="16"/>
    </row>
    <row r="171" spans="5:5" customFormat="1" x14ac:dyDescent="0.45">
      <c r="E171" s="16"/>
    </row>
    <row r="172" spans="5:5" customFormat="1" x14ac:dyDescent="0.45">
      <c r="E172" s="16"/>
    </row>
    <row r="173" spans="5:5" customFormat="1" x14ac:dyDescent="0.45">
      <c r="E173" s="16"/>
    </row>
    <row r="174" spans="5:5" customFormat="1" x14ac:dyDescent="0.45">
      <c r="E174" s="16"/>
    </row>
    <row r="175" spans="5:5" customFormat="1" x14ac:dyDescent="0.45">
      <c r="E175" s="16"/>
    </row>
    <row r="176" spans="5:5" customFormat="1" x14ac:dyDescent="0.45">
      <c r="E176" s="16"/>
    </row>
    <row r="177" spans="5:5" customFormat="1" x14ac:dyDescent="0.45">
      <c r="E177" s="16"/>
    </row>
    <row r="178" spans="5:5" customFormat="1" x14ac:dyDescent="0.45">
      <c r="E178" s="16"/>
    </row>
    <row r="179" spans="5:5" customFormat="1" x14ac:dyDescent="0.45">
      <c r="E179" s="16"/>
    </row>
    <row r="180" spans="5:5" customFormat="1" x14ac:dyDescent="0.45">
      <c r="E180" s="16"/>
    </row>
    <row r="181" spans="5:5" customFormat="1" x14ac:dyDescent="0.45">
      <c r="E181" s="16"/>
    </row>
    <row r="182" spans="5:5" customFormat="1" x14ac:dyDescent="0.45">
      <c r="E182" s="16"/>
    </row>
    <row r="183" spans="5:5" customFormat="1" x14ac:dyDescent="0.45">
      <c r="E183" s="16"/>
    </row>
    <row r="184" spans="5:5" customFormat="1" x14ac:dyDescent="0.45">
      <c r="E184" s="16"/>
    </row>
    <row r="185" spans="5:5" customFormat="1" x14ac:dyDescent="0.45">
      <c r="E185" s="16"/>
    </row>
    <row r="186" spans="5:5" customFormat="1" x14ac:dyDescent="0.45">
      <c r="E186" s="16"/>
    </row>
    <row r="187" spans="5:5" customFormat="1" x14ac:dyDescent="0.45">
      <c r="E187" s="16"/>
    </row>
    <row r="188" spans="5:5" customFormat="1" x14ac:dyDescent="0.45">
      <c r="E188" s="16"/>
    </row>
    <row r="189" spans="5:5" customFormat="1" x14ac:dyDescent="0.45">
      <c r="E189" s="16"/>
    </row>
    <row r="190" spans="5:5" customFormat="1" x14ac:dyDescent="0.45">
      <c r="E190" s="16"/>
    </row>
    <row r="191" spans="5:5" customFormat="1" x14ac:dyDescent="0.45">
      <c r="E191" s="16"/>
    </row>
    <row r="192" spans="5:5" customFormat="1" x14ac:dyDescent="0.45">
      <c r="E192" s="16"/>
    </row>
    <row r="193" spans="5:5" customFormat="1" x14ac:dyDescent="0.45">
      <c r="E193" s="16"/>
    </row>
    <row r="194" spans="5:5" customFormat="1" x14ac:dyDescent="0.45">
      <c r="E194" s="16"/>
    </row>
    <row r="195" spans="5:5" customFormat="1" x14ac:dyDescent="0.45">
      <c r="E195" s="16"/>
    </row>
    <row r="196" spans="5:5" customFormat="1" x14ac:dyDescent="0.45">
      <c r="E196" s="16"/>
    </row>
    <row r="197" spans="5:5" customFormat="1" x14ac:dyDescent="0.45">
      <c r="E197" s="16"/>
    </row>
    <row r="198" spans="5:5" customFormat="1" x14ac:dyDescent="0.45">
      <c r="E198" s="16"/>
    </row>
    <row r="199" spans="5:5" customFormat="1" x14ac:dyDescent="0.45">
      <c r="E199" s="16"/>
    </row>
    <row r="200" spans="5:5" customFormat="1" x14ac:dyDescent="0.45">
      <c r="E200" s="16"/>
    </row>
    <row r="201" spans="5:5" customFormat="1" x14ac:dyDescent="0.45">
      <c r="E201" s="16"/>
    </row>
    <row r="202" spans="5:5" customFormat="1" x14ac:dyDescent="0.45">
      <c r="E202" s="16"/>
    </row>
    <row r="203" spans="5:5" customFormat="1" x14ac:dyDescent="0.45">
      <c r="E203" s="16"/>
    </row>
    <row r="204" spans="5:5" customFormat="1" x14ac:dyDescent="0.45">
      <c r="E204" s="16"/>
    </row>
    <row r="205" spans="5:5" customFormat="1" x14ac:dyDescent="0.45">
      <c r="E205" s="16"/>
    </row>
    <row r="206" spans="5:5" customFormat="1" x14ac:dyDescent="0.45">
      <c r="E206" s="16"/>
    </row>
    <row r="207" spans="5:5" customFormat="1" x14ac:dyDescent="0.45">
      <c r="E207" s="16"/>
    </row>
    <row r="208" spans="5:5" customFormat="1" x14ac:dyDescent="0.45">
      <c r="E208" s="16"/>
    </row>
    <row r="209" spans="5:5" customFormat="1" x14ac:dyDescent="0.45">
      <c r="E209" s="16"/>
    </row>
    <row r="210" spans="5:5" customFormat="1" x14ac:dyDescent="0.45">
      <c r="E210" s="16"/>
    </row>
    <row r="211" spans="5:5" customFormat="1" x14ac:dyDescent="0.45">
      <c r="E211" s="16"/>
    </row>
    <row r="212" spans="5:5" customFormat="1" x14ac:dyDescent="0.45">
      <c r="E212" s="16"/>
    </row>
    <row r="213" spans="5:5" customFormat="1" x14ac:dyDescent="0.45">
      <c r="E213" s="16"/>
    </row>
    <row r="214" spans="5:5" customFormat="1" x14ac:dyDescent="0.45">
      <c r="E214" s="16"/>
    </row>
    <row r="215" spans="5:5" customFormat="1" x14ac:dyDescent="0.45">
      <c r="E215" s="16"/>
    </row>
    <row r="216" spans="5:5" customFormat="1" x14ac:dyDescent="0.45">
      <c r="E216" s="16"/>
    </row>
    <row r="217" spans="5:5" customFormat="1" x14ac:dyDescent="0.45">
      <c r="E217" s="16"/>
    </row>
    <row r="218" spans="5:5" customFormat="1" x14ac:dyDescent="0.45">
      <c r="E218" s="16"/>
    </row>
    <row r="219" spans="5:5" customFormat="1" x14ac:dyDescent="0.45">
      <c r="E219" s="16"/>
    </row>
    <row r="220" spans="5:5" customFormat="1" x14ac:dyDescent="0.45">
      <c r="E220" s="16"/>
    </row>
    <row r="221" spans="5:5" customFormat="1" x14ac:dyDescent="0.45">
      <c r="E221" s="16"/>
    </row>
    <row r="222" spans="5:5" customFormat="1" x14ac:dyDescent="0.45">
      <c r="E222" s="16"/>
    </row>
    <row r="223" spans="5:5" customFormat="1" x14ac:dyDescent="0.45">
      <c r="E223" s="16"/>
    </row>
    <row r="224" spans="5:5" customFormat="1" x14ac:dyDescent="0.45">
      <c r="E224" s="16"/>
    </row>
    <row r="225" spans="5:5" customFormat="1" x14ac:dyDescent="0.45">
      <c r="E225" s="16"/>
    </row>
    <row r="226" spans="5:5" customFormat="1" x14ac:dyDescent="0.45">
      <c r="E226" s="16"/>
    </row>
    <row r="227" spans="5:5" customFormat="1" x14ac:dyDescent="0.45">
      <c r="E227" s="16"/>
    </row>
    <row r="228" spans="5:5" customFormat="1" x14ac:dyDescent="0.45">
      <c r="E228" s="16"/>
    </row>
  </sheetData>
  <mergeCells count="18">
    <mergeCell ref="A2:A6"/>
    <mergeCell ref="A7:A11"/>
    <mergeCell ref="A12:A16"/>
    <mergeCell ref="O2:O6"/>
    <mergeCell ref="O7:O11"/>
    <mergeCell ref="O12:O16"/>
    <mergeCell ref="O17:O21"/>
    <mergeCell ref="O22:O26"/>
    <mergeCell ref="A17:A21"/>
    <mergeCell ref="A22:A26"/>
    <mergeCell ref="A47:A51"/>
    <mergeCell ref="A52:A56"/>
    <mergeCell ref="O27:O31"/>
    <mergeCell ref="O32:O36"/>
    <mergeCell ref="A37:A41"/>
    <mergeCell ref="A42:A46"/>
    <mergeCell ref="A27:A31"/>
    <mergeCell ref="A32:A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71BFE-DDC6-489F-9D37-F45A8245B0F0}">
  <dimension ref="A1:M74"/>
  <sheetViews>
    <sheetView workbookViewId="0">
      <selection activeCell="A2" sqref="A2:K56"/>
    </sheetView>
  </sheetViews>
  <sheetFormatPr defaultRowHeight="14.25" x14ac:dyDescent="0.45"/>
  <cols>
    <col min="5" max="5" width="9.06640625" style="16"/>
  </cols>
  <sheetData>
    <row r="1" spans="1:13" x14ac:dyDescent="0.45">
      <c r="A1" s="27" t="s">
        <v>19</v>
      </c>
      <c r="B1" s="28" t="s">
        <v>18</v>
      </c>
      <c r="C1" s="29" t="s">
        <v>0</v>
      </c>
      <c r="D1" s="29" t="s">
        <v>1</v>
      </c>
      <c r="E1" s="30" t="s">
        <v>2</v>
      </c>
      <c r="F1" s="29" t="s">
        <v>3</v>
      </c>
      <c r="G1" s="29" t="s">
        <v>4</v>
      </c>
      <c r="H1" s="29" t="s">
        <v>5</v>
      </c>
      <c r="I1" s="29" t="s">
        <v>6</v>
      </c>
      <c r="J1" s="29" t="s">
        <v>7</v>
      </c>
      <c r="K1" s="29" t="s">
        <v>8</v>
      </c>
    </row>
    <row r="2" spans="1:13" x14ac:dyDescent="0.45">
      <c r="A2" s="23" t="s">
        <v>25</v>
      </c>
      <c r="B2" s="4">
        <v>1</v>
      </c>
      <c r="C2" s="2">
        <v>0.86296033859252896</v>
      </c>
      <c r="D2" s="26">
        <v>72</v>
      </c>
      <c r="E2" s="18">
        <f>0.987654320987654</f>
        <v>0.98765432098765404</v>
      </c>
      <c r="F2" s="2">
        <v>0.99009900990098998</v>
      </c>
      <c r="G2" s="2">
        <v>0.99019607843137203</v>
      </c>
      <c r="H2" s="2">
        <v>1</v>
      </c>
      <c r="I2" s="2">
        <v>0.98039215686274495</v>
      </c>
      <c r="J2" s="2">
        <v>0.98039215686274495</v>
      </c>
      <c r="K2" s="2">
        <v>0.97370983446932802</v>
      </c>
    </row>
    <row r="3" spans="1:13" x14ac:dyDescent="0.45">
      <c r="A3" s="23"/>
      <c r="B3" s="4">
        <v>2</v>
      </c>
      <c r="C3" s="2">
        <v>0.76189303398132302</v>
      </c>
      <c r="D3" s="26">
        <v>72</v>
      </c>
      <c r="E3" s="18">
        <f>0.987654320987654</f>
        <v>0.98765432098765404</v>
      </c>
      <c r="F3" s="2">
        <v>0.99009900990098998</v>
      </c>
      <c r="G3" s="2">
        <v>0.99019607843137203</v>
      </c>
      <c r="H3" s="2">
        <v>1</v>
      </c>
      <c r="I3" s="2">
        <v>0.98039215686274495</v>
      </c>
      <c r="J3" s="2">
        <v>0.98039215686274495</v>
      </c>
      <c r="K3" s="2">
        <v>0.97370983446932802</v>
      </c>
    </row>
    <row r="4" spans="1:13" x14ac:dyDescent="0.45">
      <c r="A4" s="23"/>
      <c r="B4" s="4">
        <v>3</v>
      </c>
      <c r="C4" s="2">
        <v>0.94767403602600098</v>
      </c>
      <c r="D4" s="26">
        <v>72</v>
      </c>
      <c r="E4" s="18">
        <f>1</f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</row>
    <row r="5" spans="1:13" x14ac:dyDescent="0.45">
      <c r="A5" s="23"/>
      <c r="B5" s="4" t="s">
        <v>16</v>
      </c>
      <c r="C5" s="8">
        <f>AVERAGE(C2:C4)</f>
        <v>0.85750913619995106</v>
      </c>
      <c r="D5" s="8">
        <f t="shared" ref="D5:K5" si="0">AVERAGE(D2:D4)</f>
        <v>72</v>
      </c>
      <c r="E5" s="12">
        <f>AVERAGE(E2:E4)</f>
        <v>0.9917695473251027</v>
      </c>
      <c r="F5" s="8">
        <f t="shared" si="0"/>
        <v>0.99339933993399343</v>
      </c>
      <c r="G5" s="8">
        <f t="shared" si="0"/>
        <v>0.99346405228758139</v>
      </c>
      <c r="H5" s="8">
        <f t="shared" si="0"/>
        <v>1</v>
      </c>
      <c r="I5" s="8">
        <f t="shared" si="0"/>
        <v>0.98692810457516333</v>
      </c>
      <c r="J5" s="8">
        <f t="shared" si="0"/>
        <v>0.98692810457516333</v>
      </c>
      <c r="K5" s="8">
        <f t="shared" si="0"/>
        <v>0.98247322297955197</v>
      </c>
    </row>
    <row r="6" spans="1:13" x14ac:dyDescent="0.45">
      <c r="A6" s="23"/>
      <c r="B6" s="4" t="s">
        <v>17</v>
      </c>
      <c r="C6" s="8">
        <f>STDEV(C2:C4)</f>
        <v>9.301038590299901E-2</v>
      </c>
      <c r="D6" s="8">
        <f t="shared" ref="D6:K6" si="1">STDEV(D2:D4)</f>
        <v>0</v>
      </c>
      <c r="E6" s="12">
        <f>STDEV(E2:E4)</f>
        <v>7.1277811011066514E-3</v>
      </c>
      <c r="F6" s="8">
        <f t="shared" si="1"/>
        <v>5.7163392989072548E-3</v>
      </c>
      <c r="G6" s="8">
        <f t="shared" si="1"/>
        <v>5.6602967567613372E-3</v>
      </c>
      <c r="H6" s="8">
        <f t="shared" si="1"/>
        <v>0</v>
      </c>
      <c r="I6" s="8">
        <f t="shared" si="1"/>
        <v>1.1320593513522163E-2</v>
      </c>
      <c r="J6" s="8">
        <f t="shared" si="1"/>
        <v>1.1320593513522163E-2</v>
      </c>
      <c r="K6" s="8">
        <f t="shared" si="1"/>
        <v>1.517863414617329E-2</v>
      </c>
      <c r="M6">
        <v>0.71277811011066661</v>
      </c>
    </row>
    <row r="7" spans="1:13" x14ac:dyDescent="0.45">
      <c r="A7" s="23" t="s">
        <v>9</v>
      </c>
      <c r="B7" s="4">
        <v>1</v>
      </c>
      <c r="C7" s="2">
        <v>126.316162347793</v>
      </c>
      <c r="D7" s="26">
        <v>26</v>
      </c>
      <c r="E7" s="18">
        <f>93.2203389830508/100</f>
        <v>0.93220338983050799</v>
      </c>
      <c r="F7" s="2">
        <v>0.92857142857142805</v>
      </c>
      <c r="G7" s="2">
        <v>0.93160919540229803</v>
      </c>
      <c r="H7" s="2">
        <v>0.96296296296296202</v>
      </c>
      <c r="I7" s="2">
        <v>0.89655172413793105</v>
      </c>
      <c r="J7" s="2">
        <v>0.89655172413793105</v>
      </c>
      <c r="K7" s="2">
        <v>0.86421173762945902</v>
      </c>
    </row>
    <row r="8" spans="1:13" x14ac:dyDescent="0.45">
      <c r="A8" s="23"/>
      <c r="B8" s="4">
        <v>2</v>
      </c>
      <c r="C8" s="2">
        <v>93.746412038803101</v>
      </c>
      <c r="D8" s="26">
        <v>463</v>
      </c>
      <c r="E8" s="18">
        <f>91.5254237288135/100</f>
        <v>0.91525423728813493</v>
      </c>
      <c r="F8" s="2">
        <v>0.90909090909090895</v>
      </c>
      <c r="G8" s="2">
        <v>0.91436781609195406</v>
      </c>
      <c r="H8" s="2">
        <v>0.96153846153846101</v>
      </c>
      <c r="I8" s="2">
        <v>0.86206896551724099</v>
      </c>
      <c r="J8" s="2">
        <v>0.86206896551724099</v>
      </c>
      <c r="K8" s="2">
        <v>0.83016695451928602</v>
      </c>
    </row>
    <row r="9" spans="1:13" x14ac:dyDescent="0.45">
      <c r="A9" s="23"/>
      <c r="B9" s="4">
        <v>3</v>
      </c>
      <c r="C9" s="2">
        <v>124.230516195297</v>
      </c>
      <c r="D9" s="26">
        <v>183</v>
      </c>
      <c r="E9" s="18">
        <f>93.2203389830508/100</f>
        <v>0.93220338983050799</v>
      </c>
      <c r="F9" s="2">
        <v>0.93103448275862</v>
      </c>
      <c r="G9" s="2">
        <v>0.93218390804597695</v>
      </c>
      <c r="H9" s="2">
        <v>0.93103448275862</v>
      </c>
      <c r="I9" s="2">
        <v>0.93103448275862</v>
      </c>
      <c r="J9" s="2">
        <v>0.93103448275862</v>
      </c>
      <c r="K9" s="2">
        <v>0.86436781609195401</v>
      </c>
    </row>
    <row r="10" spans="1:13" x14ac:dyDescent="0.45">
      <c r="A10" s="23"/>
      <c r="B10" s="4" t="s">
        <v>16</v>
      </c>
      <c r="C10" s="8">
        <f>AVERAGE(C7:C9)</f>
        <v>114.7643635272977</v>
      </c>
      <c r="D10" s="8">
        <f t="shared" ref="D10:K10" si="2">AVERAGE(D7:D9)</f>
        <v>224</v>
      </c>
      <c r="E10" s="12">
        <f t="shared" si="2"/>
        <v>0.92655367231638364</v>
      </c>
      <c r="F10" s="8">
        <f t="shared" si="2"/>
        <v>0.92289894014031904</v>
      </c>
      <c r="G10" s="8">
        <f t="shared" si="2"/>
        <v>0.92605363984674305</v>
      </c>
      <c r="H10" s="8">
        <f t="shared" si="2"/>
        <v>0.95184530242001442</v>
      </c>
      <c r="I10" s="8">
        <f t="shared" si="2"/>
        <v>0.89655172413793072</v>
      </c>
      <c r="J10" s="8">
        <f t="shared" si="2"/>
        <v>0.89655172413793072</v>
      </c>
      <c r="K10" s="8">
        <f t="shared" si="2"/>
        <v>0.85291550274689965</v>
      </c>
    </row>
    <row r="11" spans="1:13" x14ac:dyDescent="0.45">
      <c r="A11" s="23"/>
      <c r="B11" s="4" t="s">
        <v>17</v>
      </c>
      <c r="C11" s="8">
        <f>STDEV(C7:C9)</f>
        <v>18.231927861526021</v>
      </c>
      <c r="D11" s="8">
        <f t="shared" ref="D11:K11" si="3">STDEV(D7:D9)</f>
        <v>221.3662124173425</v>
      </c>
      <c r="E11" s="12">
        <f t="shared" si="3"/>
        <v>9.7855977828751137E-3</v>
      </c>
      <c r="F11" s="8">
        <f t="shared" si="3"/>
        <v>1.2021353920352104E-2</v>
      </c>
      <c r="G11" s="8">
        <f t="shared" si="3"/>
        <v>1.0124299051129096E-2</v>
      </c>
      <c r="H11" s="8">
        <f t="shared" si="3"/>
        <v>1.8036766958393888E-2</v>
      </c>
      <c r="I11" s="8">
        <f t="shared" si="3"/>
        <v>3.4482758620689502E-2</v>
      </c>
      <c r="J11" s="8">
        <f t="shared" si="3"/>
        <v>3.4482758620689502E-2</v>
      </c>
      <c r="K11" s="8">
        <f t="shared" si="3"/>
        <v>1.9700975228898247E-2</v>
      </c>
    </row>
    <row r="12" spans="1:13" x14ac:dyDescent="0.45">
      <c r="A12" s="23" t="s">
        <v>35</v>
      </c>
      <c r="B12" s="4">
        <v>1</v>
      </c>
      <c r="C12" s="2">
        <v>10.5405423641204</v>
      </c>
      <c r="D12" s="26">
        <v>41</v>
      </c>
      <c r="E12" s="18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</row>
    <row r="13" spans="1:13" x14ac:dyDescent="0.45">
      <c r="A13" s="23"/>
      <c r="B13" s="4">
        <v>2</v>
      </c>
      <c r="C13" s="2">
        <v>10.0873682498931</v>
      </c>
      <c r="D13" s="26">
        <v>32</v>
      </c>
      <c r="E13" s="18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</row>
    <row r="14" spans="1:13" x14ac:dyDescent="0.45">
      <c r="A14" s="23"/>
      <c r="B14" s="4">
        <v>3</v>
      </c>
      <c r="C14" s="2">
        <v>9.9698677062988192</v>
      </c>
      <c r="D14" s="26">
        <v>38</v>
      </c>
      <c r="E14" s="18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</row>
    <row r="15" spans="1:13" x14ac:dyDescent="0.45">
      <c r="A15" s="23"/>
      <c r="B15" s="4" t="s">
        <v>16</v>
      </c>
      <c r="C15" s="3">
        <f>AVERAGE(C12:C14)</f>
        <v>10.199259440104107</v>
      </c>
      <c r="D15" s="3">
        <f t="shared" ref="D15:K15" si="4">AVERAGE(D12:D14)</f>
        <v>37</v>
      </c>
      <c r="E15" s="13">
        <f t="shared" si="4"/>
        <v>1</v>
      </c>
      <c r="F15" s="3">
        <f t="shared" si="4"/>
        <v>1</v>
      </c>
      <c r="G15" s="3">
        <f t="shared" si="4"/>
        <v>1</v>
      </c>
      <c r="H15" s="3">
        <f t="shared" si="4"/>
        <v>1</v>
      </c>
      <c r="I15" s="3">
        <f t="shared" si="4"/>
        <v>1</v>
      </c>
      <c r="J15" s="3">
        <f t="shared" si="4"/>
        <v>1</v>
      </c>
      <c r="K15" s="3">
        <f t="shared" si="4"/>
        <v>1</v>
      </c>
    </row>
    <row r="16" spans="1:13" x14ac:dyDescent="0.45">
      <c r="A16" s="23"/>
      <c r="B16" s="4" t="s">
        <v>17</v>
      </c>
      <c r="C16" s="3">
        <f>STDEV(C12:C14)</f>
        <v>0.30134219768408022</v>
      </c>
      <c r="D16" s="3">
        <f t="shared" ref="D16:K16" si="5">STDEV(D12:D14)</f>
        <v>4.5825756949558398</v>
      </c>
      <c r="E16" s="13">
        <f t="shared" si="5"/>
        <v>0</v>
      </c>
      <c r="F16" s="3">
        <f t="shared" si="5"/>
        <v>0</v>
      </c>
      <c r="G16" s="3">
        <f t="shared" si="5"/>
        <v>0</v>
      </c>
      <c r="H16" s="3">
        <f t="shared" si="5"/>
        <v>0</v>
      </c>
      <c r="I16" s="3">
        <f t="shared" si="5"/>
        <v>0</v>
      </c>
      <c r="J16" s="3">
        <f t="shared" si="5"/>
        <v>0</v>
      </c>
      <c r="K16" s="3">
        <f t="shared" si="5"/>
        <v>0</v>
      </c>
    </row>
    <row r="17" spans="1:11" x14ac:dyDescent="0.45">
      <c r="A17" s="23" t="s">
        <v>12</v>
      </c>
      <c r="B17" s="4">
        <v>1</v>
      </c>
      <c r="C17" s="2">
        <v>430.47090148925702</v>
      </c>
      <c r="D17" s="26">
        <v>14106</v>
      </c>
      <c r="E17" s="18">
        <f>86.4406779661017/100</f>
        <v>0.86440677966101698</v>
      </c>
      <c r="F17" s="2">
        <v>0.87096774193548299</v>
      </c>
      <c r="G17" s="2">
        <v>0.86551724137930997</v>
      </c>
      <c r="H17" s="2">
        <v>0.81818181818181801</v>
      </c>
      <c r="I17" s="2">
        <v>0.93103448275862</v>
      </c>
      <c r="J17" s="2">
        <v>0.93103448275862</v>
      </c>
      <c r="K17" s="2">
        <v>0.72935779816513702</v>
      </c>
    </row>
    <row r="18" spans="1:11" x14ac:dyDescent="0.45">
      <c r="A18" s="23"/>
      <c r="B18" s="4">
        <v>2</v>
      </c>
      <c r="C18" s="2">
        <v>478.87220644950798</v>
      </c>
      <c r="D18" s="26">
        <v>14124</v>
      </c>
      <c r="E18" s="18">
        <f>86.4406779661017/100</f>
        <v>0.86440677966101698</v>
      </c>
      <c r="F18" s="2">
        <v>0.87096774193548299</v>
      </c>
      <c r="G18" s="2">
        <v>0.86551724137930997</v>
      </c>
      <c r="H18" s="2">
        <v>0.81818181818181801</v>
      </c>
      <c r="I18" s="2">
        <v>0.93103448275862</v>
      </c>
      <c r="J18" s="2">
        <v>0.93103448275862</v>
      </c>
      <c r="K18" s="2">
        <v>0.72935779816513702</v>
      </c>
    </row>
    <row r="19" spans="1:11" x14ac:dyDescent="0.45">
      <c r="A19" s="23"/>
      <c r="B19" s="4">
        <v>3</v>
      </c>
      <c r="C19" s="2">
        <v>403.12409257888697</v>
      </c>
      <c r="D19" s="26">
        <v>14067</v>
      </c>
      <c r="E19" s="18">
        <f>86.4406779661017/100</f>
        <v>0.86440677966101698</v>
      </c>
      <c r="F19" s="2">
        <v>0.87096774193548299</v>
      </c>
      <c r="G19" s="2">
        <v>0.86551724137930997</v>
      </c>
      <c r="H19" s="2">
        <v>0.81818181818181801</v>
      </c>
      <c r="I19" s="2">
        <v>0.93103448275862</v>
      </c>
      <c r="J19" s="2">
        <v>0.93103448275862</v>
      </c>
      <c r="K19" s="2">
        <v>0.72935779816513702</v>
      </c>
    </row>
    <row r="20" spans="1:11" x14ac:dyDescent="0.45">
      <c r="A20" s="23"/>
      <c r="B20" s="4" t="s">
        <v>16</v>
      </c>
      <c r="C20" s="8">
        <f>AVERAGE(C17:C19)</f>
        <v>437.48906683921729</v>
      </c>
      <c r="D20" s="8">
        <f t="shared" ref="D20:K20" si="6">AVERAGE(D17:D19)</f>
        <v>14099</v>
      </c>
      <c r="E20" s="12">
        <f t="shared" si="6"/>
        <v>0.86440677966101698</v>
      </c>
      <c r="F20" s="8">
        <f t="shared" si="6"/>
        <v>0.87096774193548299</v>
      </c>
      <c r="G20" s="8">
        <f t="shared" si="6"/>
        <v>0.86551724137930997</v>
      </c>
      <c r="H20" s="8">
        <f t="shared" si="6"/>
        <v>0.81818181818181801</v>
      </c>
      <c r="I20" s="8">
        <f t="shared" si="6"/>
        <v>0.93103448275862</v>
      </c>
      <c r="J20" s="8">
        <f t="shared" si="6"/>
        <v>0.93103448275862</v>
      </c>
      <c r="K20" s="8">
        <f t="shared" si="6"/>
        <v>0.72935779816513702</v>
      </c>
    </row>
    <row r="21" spans="1:11" x14ac:dyDescent="0.45">
      <c r="A21" s="23"/>
      <c r="B21" s="4" t="s">
        <v>17</v>
      </c>
      <c r="C21" s="8">
        <f>STDEV(C17:C19)</f>
        <v>38.358638823590695</v>
      </c>
      <c r="D21" s="8">
        <f t="shared" ref="D21:K21" si="7">STDEV(D17:D19)</f>
        <v>29.13760456866693</v>
      </c>
      <c r="E21" s="12">
        <f t="shared" si="7"/>
        <v>0</v>
      </c>
      <c r="F21" s="8">
        <f t="shared" si="7"/>
        <v>0</v>
      </c>
      <c r="G21" s="8">
        <f t="shared" si="7"/>
        <v>0</v>
      </c>
      <c r="H21" s="8">
        <f t="shared" si="7"/>
        <v>0</v>
      </c>
      <c r="I21" s="8">
        <f t="shared" si="7"/>
        <v>0</v>
      </c>
      <c r="J21" s="8">
        <f t="shared" si="7"/>
        <v>0</v>
      </c>
      <c r="K21" s="8">
        <f t="shared" si="7"/>
        <v>0</v>
      </c>
    </row>
    <row r="22" spans="1:11" x14ac:dyDescent="0.45">
      <c r="A22" s="23" t="s">
        <v>36</v>
      </c>
      <c r="B22" s="4">
        <v>1</v>
      </c>
      <c r="C22" s="2">
        <v>27.269856691360399</v>
      </c>
      <c r="D22" s="26">
        <v>29</v>
      </c>
      <c r="E22" s="18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</row>
    <row r="23" spans="1:11" x14ac:dyDescent="0.45">
      <c r="A23" s="23"/>
      <c r="B23" s="4">
        <v>2</v>
      </c>
      <c r="C23" s="2">
        <v>24.395492553710898</v>
      </c>
      <c r="D23" s="26">
        <v>29</v>
      </c>
      <c r="E23" s="18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</row>
    <row r="24" spans="1:11" x14ac:dyDescent="0.45">
      <c r="A24" s="23"/>
      <c r="B24" s="4">
        <v>3</v>
      </c>
      <c r="C24" s="2">
        <v>25.615216970443701</v>
      </c>
      <c r="D24" s="26">
        <v>26</v>
      </c>
      <c r="E24" s="18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</row>
    <row r="25" spans="1:11" x14ac:dyDescent="0.45">
      <c r="A25" s="23"/>
      <c r="B25" s="4" t="s">
        <v>16</v>
      </c>
      <c r="C25" s="3">
        <f>AVERAGE(C22:C24)</f>
        <v>25.760188738504997</v>
      </c>
      <c r="D25" s="3">
        <f t="shared" ref="D25:K25" si="8">AVERAGE(D22:D24)</f>
        <v>28</v>
      </c>
      <c r="E25" s="13">
        <f t="shared" si="8"/>
        <v>1</v>
      </c>
      <c r="F25" s="3">
        <f t="shared" si="8"/>
        <v>1</v>
      </c>
      <c r="G25" s="3">
        <f t="shared" si="8"/>
        <v>1</v>
      </c>
      <c r="H25" s="3">
        <f t="shared" si="8"/>
        <v>1</v>
      </c>
      <c r="I25" s="3">
        <f t="shared" si="8"/>
        <v>1</v>
      </c>
      <c r="J25" s="3">
        <f t="shared" si="8"/>
        <v>1</v>
      </c>
      <c r="K25" s="3">
        <f t="shared" si="8"/>
        <v>1</v>
      </c>
    </row>
    <row r="26" spans="1:11" x14ac:dyDescent="0.45">
      <c r="A26" s="23"/>
      <c r="B26" s="4" t="s">
        <v>17</v>
      </c>
      <c r="C26" s="3">
        <f>STDEV(C22:C24)</f>
        <v>1.4426555060382587</v>
      </c>
      <c r="D26" s="3">
        <f t="shared" ref="D26:K26" si="9">STDEV(D22:D24)</f>
        <v>1.7320508075688772</v>
      </c>
      <c r="E26" s="13">
        <f t="shared" si="9"/>
        <v>0</v>
      </c>
      <c r="F26" s="3">
        <f t="shared" si="9"/>
        <v>0</v>
      </c>
      <c r="G26" s="3">
        <f t="shared" si="9"/>
        <v>0</v>
      </c>
      <c r="H26" s="3">
        <f t="shared" si="9"/>
        <v>0</v>
      </c>
      <c r="I26" s="3">
        <f t="shared" si="9"/>
        <v>0</v>
      </c>
      <c r="J26" s="3">
        <f t="shared" si="9"/>
        <v>0</v>
      </c>
      <c r="K26" s="3">
        <f t="shared" si="9"/>
        <v>0</v>
      </c>
    </row>
    <row r="27" spans="1:11" x14ac:dyDescent="0.45">
      <c r="A27" s="23" t="s">
        <v>31</v>
      </c>
      <c r="B27" s="4">
        <v>1</v>
      </c>
      <c r="C27" s="2">
        <v>499.62471532821598</v>
      </c>
      <c r="D27" s="26">
        <v>13963</v>
      </c>
      <c r="E27" s="18">
        <f>83.0508474576271/100</f>
        <v>0.83050847457627097</v>
      </c>
      <c r="F27" s="2">
        <v>0.81481481481481399</v>
      </c>
      <c r="G27" s="2">
        <v>0.82931034482758603</v>
      </c>
      <c r="H27" s="2">
        <v>0.88</v>
      </c>
      <c r="I27" s="2">
        <v>0.75862068965517204</v>
      </c>
      <c r="J27" s="2">
        <v>0.75862068965517204</v>
      </c>
      <c r="K27" s="2">
        <v>0.66013824884792605</v>
      </c>
    </row>
    <row r="28" spans="1:11" x14ac:dyDescent="0.45">
      <c r="A28" s="23"/>
      <c r="B28" s="4">
        <v>2</v>
      </c>
      <c r="C28" s="2">
        <v>409.56671285629199</v>
      </c>
      <c r="D28" s="26">
        <v>13877</v>
      </c>
      <c r="E28" s="18">
        <f>84.7457627118644/100</f>
        <v>0.84745762711864403</v>
      </c>
      <c r="F28" s="2">
        <v>0.83636363636363598</v>
      </c>
      <c r="G28" s="2">
        <v>0.84655172413793101</v>
      </c>
      <c r="H28" s="2">
        <v>0.88461538461538403</v>
      </c>
      <c r="I28" s="2">
        <v>0.79310344827586199</v>
      </c>
      <c r="J28" s="2">
        <v>0.79310344827586199</v>
      </c>
      <c r="K28" s="2">
        <v>0.69430051813471505</v>
      </c>
    </row>
    <row r="29" spans="1:11" x14ac:dyDescent="0.45">
      <c r="A29" s="23"/>
      <c r="B29" s="4">
        <v>3</v>
      </c>
      <c r="C29" s="2">
        <v>405.79718065261801</v>
      </c>
      <c r="D29" s="26">
        <v>13861</v>
      </c>
      <c r="E29" s="18">
        <f>83.0508474576271/100</f>
        <v>0.83050847457627097</v>
      </c>
      <c r="F29" s="2">
        <v>0.81481481481481399</v>
      </c>
      <c r="G29" s="2">
        <v>0.82931034482758603</v>
      </c>
      <c r="H29" s="2">
        <v>0.88</v>
      </c>
      <c r="I29" s="2">
        <v>0.75862068965517204</v>
      </c>
      <c r="J29" s="2">
        <v>0.75862068965517204</v>
      </c>
      <c r="K29" s="2">
        <v>0.66013824884792605</v>
      </c>
    </row>
    <row r="30" spans="1:11" x14ac:dyDescent="0.45">
      <c r="A30" s="23"/>
      <c r="B30" s="4" t="s">
        <v>16</v>
      </c>
      <c r="C30" s="8">
        <f>AVERAGE(C27:C29)</f>
        <v>438.32953627904197</v>
      </c>
      <c r="D30" s="8">
        <f t="shared" ref="D30:K30" si="10">AVERAGE(D27:D29)</f>
        <v>13900.333333333334</v>
      </c>
      <c r="E30" s="12">
        <f t="shared" si="10"/>
        <v>0.83615819209039532</v>
      </c>
      <c r="F30" s="8">
        <f t="shared" si="10"/>
        <v>0.82199775533108799</v>
      </c>
      <c r="G30" s="8">
        <f t="shared" si="10"/>
        <v>0.83505747126436758</v>
      </c>
      <c r="H30" s="8">
        <f t="shared" si="10"/>
        <v>0.88153846153846127</v>
      </c>
      <c r="I30" s="8">
        <f t="shared" si="10"/>
        <v>0.77011494252873536</v>
      </c>
      <c r="J30" s="8">
        <f t="shared" si="10"/>
        <v>0.77011494252873536</v>
      </c>
      <c r="K30" s="8">
        <f t="shared" si="10"/>
        <v>0.67152567194352242</v>
      </c>
    </row>
    <row r="31" spans="1:11" x14ac:dyDescent="0.45">
      <c r="A31" s="23"/>
      <c r="B31" s="4" t="s">
        <v>17</v>
      </c>
      <c r="C31" s="8">
        <f>STDEV(C27:C29)</f>
        <v>53.116631804561528</v>
      </c>
      <c r="D31" s="8">
        <f t="shared" ref="D31:K31" si="11">STDEV(D27:D29)</f>
        <v>54.85739087245522</v>
      </c>
      <c r="E31" s="12">
        <f t="shared" si="11"/>
        <v>9.7855977828751137E-3</v>
      </c>
      <c r="F31" s="8">
        <f t="shared" si="11"/>
        <v>1.2441217921931581E-2</v>
      </c>
      <c r="G31" s="8">
        <f t="shared" si="11"/>
        <v>9.9543149860281139E-3</v>
      </c>
      <c r="H31" s="8">
        <f t="shared" si="11"/>
        <v>2.6646935501056226E-3</v>
      </c>
      <c r="I31" s="8">
        <f t="shared" si="11"/>
        <v>1.9908629972056228E-2</v>
      </c>
      <c r="J31" s="8">
        <f t="shared" si="11"/>
        <v>1.9908629972056228E-2</v>
      </c>
      <c r="K31" s="8">
        <f t="shared" si="11"/>
        <v>1.9723595368856116E-2</v>
      </c>
    </row>
    <row r="32" spans="1:11" x14ac:dyDescent="0.45">
      <c r="A32" s="23" t="s">
        <v>32</v>
      </c>
      <c r="B32" s="4">
        <v>1</v>
      </c>
      <c r="C32" s="2">
        <v>26.4342153072357</v>
      </c>
      <c r="D32" s="26">
        <v>19</v>
      </c>
      <c r="E32" s="18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</row>
    <row r="33" spans="1:11" x14ac:dyDescent="0.45">
      <c r="A33" s="23"/>
      <c r="B33" s="4">
        <v>2</v>
      </c>
      <c r="C33" s="2">
        <v>14.4333117008209</v>
      </c>
      <c r="D33" s="26">
        <v>19</v>
      </c>
      <c r="E33" s="18">
        <v>1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</row>
    <row r="34" spans="1:11" x14ac:dyDescent="0.45">
      <c r="A34" s="23"/>
      <c r="B34" s="4">
        <v>3</v>
      </c>
      <c r="C34" s="2">
        <v>6.3930318355560303</v>
      </c>
      <c r="D34" s="26">
        <v>24</v>
      </c>
      <c r="E34" s="18">
        <v>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</row>
    <row r="35" spans="1:11" x14ac:dyDescent="0.45">
      <c r="A35" s="23"/>
      <c r="B35" s="4" t="s">
        <v>16</v>
      </c>
      <c r="C35" s="3">
        <f>AVERAGE(C32:C34)</f>
        <v>15.753519614537543</v>
      </c>
      <c r="D35" s="3">
        <f t="shared" ref="D35:K35" si="12">AVERAGE(D32:D34)</f>
        <v>20.666666666666668</v>
      </c>
      <c r="E35" s="13">
        <f t="shared" si="12"/>
        <v>1</v>
      </c>
      <c r="F35" s="3">
        <f t="shared" si="12"/>
        <v>1</v>
      </c>
      <c r="G35" s="3">
        <f t="shared" si="12"/>
        <v>1</v>
      </c>
      <c r="H35" s="3">
        <f t="shared" si="12"/>
        <v>1</v>
      </c>
      <c r="I35" s="3">
        <f t="shared" si="12"/>
        <v>1</v>
      </c>
      <c r="J35" s="3">
        <f t="shared" si="12"/>
        <v>1</v>
      </c>
      <c r="K35" s="3">
        <f t="shared" si="12"/>
        <v>1</v>
      </c>
    </row>
    <row r="36" spans="1:11" x14ac:dyDescent="0.45">
      <c r="A36" s="23"/>
      <c r="B36" s="4" t="s">
        <v>17</v>
      </c>
      <c r="C36" s="3">
        <f>STDEV(C32:C34)</f>
        <v>10.085607093177966</v>
      </c>
      <c r="D36" s="3">
        <f t="shared" ref="D36:K36" si="13">STDEV(D32:D34)</f>
        <v>2.8867513459481353</v>
      </c>
      <c r="E36" s="13">
        <f t="shared" si="13"/>
        <v>0</v>
      </c>
      <c r="F36" s="3">
        <f t="shared" si="13"/>
        <v>0</v>
      </c>
      <c r="G36" s="3">
        <f t="shared" si="13"/>
        <v>0</v>
      </c>
      <c r="H36" s="3">
        <f t="shared" si="13"/>
        <v>0</v>
      </c>
      <c r="I36" s="3">
        <f t="shared" si="13"/>
        <v>0</v>
      </c>
      <c r="J36" s="3">
        <f t="shared" si="13"/>
        <v>0</v>
      </c>
      <c r="K36" s="3">
        <f t="shared" si="13"/>
        <v>0</v>
      </c>
    </row>
    <row r="37" spans="1:11" x14ac:dyDescent="0.45">
      <c r="A37" s="23" t="s">
        <v>27</v>
      </c>
      <c r="B37" s="20">
        <v>1</v>
      </c>
      <c r="C37" s="2">
        <v>174.56384611129701</v>
      </c>
      <c r="D37" s="26">
        <v>15450</v>
      </c>
      <c r="E37" s="2">
        <f>0.950617283950617</f>
        <v>0.95061728395061695</v>
      </c>
      <c r="F37" s="2">
        <v>0.96226415094339601</v>
      </c>
      <c r="G37" s="2">
        <v>0.93333333333333302</v>
      </c>
      <c r="H37" s="2">
        <v>0.92727272727272703</v>
      </c>
      <c r="I37" s="2">
        <v>1</v>
      </c>
      <c r="J37" s="2">
        <v>1</v>
      </c>
      <c r="K37" s="2">
        <v>0.89112903225806395</v>
      </c>
    </row>
    <row r="38" spans="1:11" x14ac:dyDescent="0.45">
      <c r="A38" s="23"/>
      <c r="B38" s="20">
        <v>2</v>
      </c>
      <c r="C38" s="2">
        <v>217.917441368103</v>
      </c>
      <c r="D38" s="26">
        <v>15782</v>
      </c>
      <c r="E38" s="2">
        <f>0.950617283950617</f>
        <v>0.95061728395061695</v>
      </c>
      <c r="F38" s="2">
        <v>0.96226415094339601</v>
      </c>
      <c r="G38" s="2">
        <v>0.93333333333333302</v>
      </c>
      <c r="H38" s="2">
        <v>0.92727272727272703</v>
      </c>
      <c r="I38" s="2">
        <v>1</v>
      </c>
      <c r="J38" s="2">
        <v>1</v>
      </c>
      <c r="K38" s="2">
        <v>0.89112903225806395</v>
      </c>
    </row>
    <row r="39" spans="1:11" x14ac:dyDescent="0.45">
      <c r="A39" s="23"/>
      <c r="B39" s="20">
        <v>3</v>
      </c>
      <c r="C39" s="2">
        <v>156.12161803245499</v>
      </c>
      <c r="D39" s="26">
        <v>15570</v>
      </c>
      <c r="E39" s="2">
        <f>0.950617283950617</f>
        <v>0.95061728395061695</v>
      </c>
      <c r="F39" s="2">
        <v>0.96226415094339601</v>
      </c>
      <c r="G39" s="2">
        <v>0.93333333333333302</v>
      </c>
      <c r="H39" s="2">
        <v>0.92727272727272703</v>
      </c>
      <c r="I39" s="2">
        <v>1</v>
      </c>
      <c r="J39" s="2">
        <v>1</v>
      </c>
      <c r="K39" s="2">
        <v>0.89112903225806395</v>
      </c>
    </row>
    <row r="40" spans="1:11" x14ac:dyDescent="0.45">
      <c r="A40" s="23"/>
      <c r="B40" s="20" t="s">
        <v>16</v>
      </c>
      <c r="C40" s="3">
        <f>AVERAGE(C37:C39)</f>
        <v>182.86763517061831</v>
      </c>
      <c r="D40" s="3">
        <f t="shared" ref="D40:K40" si="14">AVERAGE(D37:D39)</f>
        <v>15600.666666666666</v>
      </c>
      <c r="E40" s="3">
        <f>AVERAGE(E37:E39)</f>
        <v>0.95061728395061695</v>
      </c>
      <c r="F40" s="3">
        <f t="shared" si="14"/>
        <v>0.96226415094339612</v>
      </c>
      <c r="G40" s="3">
        <f t="shared" si="14"/>
        <v>0.93333333333333302</v>
      </c>
      <c r="H40" s="3">
        <f t="shared" si="14"/>
        <v>0.92727272727272714</v>
      </c>
      <c r="I40" s="3">
        <f t="shared" si="14"/>
        <v>1</v>
      </c>
      <c r="J40" s="3">
        <f t="shared" si="14"/>
        <v>1</v>
      </c>
      <c r="K40" s="3">
        <f t="shared" si="14"/>
        <v>0.89112903225806395</v>
      </c>
    </row>
    <row r="41" spans="1:11" x14ac:dyDescent="0.45">
      <c r="A41" s="23"/>
      <c r="B41" s="20" t="s">
        <v>17</v>
      </c>
      <c r="C41" s="3">
        <f>STDEV(C37:C39)</f>
        <v>31.723739218272055</v>
      </c>
      <c r="D41" s="3">
        <f t="shared" ref="D41:K41" si="15">STDEV(D37:D39)</f>
        <v>168.11107439229974</v>
      </c>
      <c r="E41" s="3">
        <f t="shared" si="15"/>
        <v>0</v>
      </c>
      <c r="F41" s="3">
        <f t="shared" si="15"/>
        <v>1.3597399555105182E-16</v>
      </c>
      <c r="G41" s="3">
        <f t="shared" si="15"/>
        <v>0</v>
      </c>
      <c r="H41" s="3">
        <f t="shared" si="15"/>
        <v>1.3597399555105182E-16</v>
      </c>
      <c r="I41" s="3">
        <f t="shared" si="15"/>
        <v>0</v>
      </c>
      <c r="J41" s="3">
        <f t="shared" si="15"/>
        <v>0</v>
      </c>
      <c r="K41" s="3">
        <f t="shared" si="15"/>
        <v>0</v>
      </c>
    </row>
    <row r="42" spans="1:11" x14ac:dyDescent="0.45">
      <c r="A42" s="23" t="s">
        <v>33</v>
      </c>
      <c r="B42" s="20">
        <v>1</v>
      </c>
      <c r="C42" s="2">
        <v>0.58345603942871005</v>
      </c>
      <c r="D42" s="26">
        <v>38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</row>
    <row r="43" spans="1:11" x14ac:dyDescent="0.45">
      <c r="A43" s="23"/>
      <c r="B43" s="20">
        <v>2</v>
      </c>
      <c r="C43" s="2">
        <v>0.50860023498535101</v>
      </c>
      <c r="D43" s="26">
        <v>37</v>
      </c>
      <c r="E43" s="2">
        <v>1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</row>
    <row r="44" spans="1:11" x14ac:dyDescent="0.45">
      <c r="A44" s="23"/>
      <c r="B44" s="20">
        <v>3</v>
      </c>
      <c r="C44" s="2">
        <v>0.46788740158080999</v>
      </c>
      <c r="D44" s="26">
        <v>42</v>
      </c>
      <c r="E44" s="2">
        <f>0.987654320987654</f>
        <v>0.98765432098765404</v>
      </c>
      <c r="F44" s="2">
        <v>0.99009900990098998</v>
      </c>
      <c r="G44" s="2">
        <v>0.99019607843137203</v>
      </c>
      <c r="H44" s="2">
        <v>1</v>
      </c>
      <c r="I44" s="2">
        <v>0.98039215686274495</v>
      </c>
      <c r="J44" s="2">
        <v>0.98039215686274495</v>
      </c>
      <c r="K44" s="2">
        <v>0.97370983446932802</v>
      </c>
    </row>
    <row r="45" spans="1:11" x14ac:dyDescent="0.45">
      <c r="A45" s="23"/>
      <c r="B45" s="20" t="s">
        <v>16</v>
      </c>
      <c r="C45" s="3">
        <f>AVERAGE(C42:C44)</f>
        <v>0.51998122533162372</v>
      </c>
      <c r="D45" s="3">
        <f t="shared" ref="D45:K45" si="16">AVERAGE(D42:D44)</f>
        <v>39</v>
      </c>
      <c r="E45" s="3">
        <f>AVERAGE(E42:E44)</f>
        <v>0.99588477366255146</v>
      </c>
      <c r="F45" s="3">
        <f t="shared" si="16"/>
        <v>0.99669966996699666</v>
      </c>
      <c r="G45" s="3">
        <f t="shared" si="16"/>
        <v>0.99673202614379075</v>
      </c>
      <c r="H45" s="3">
        <f t="shared" si="16"/>
        <v>1</v>
      </c>
      <c r="I45" s="3">
        <f t="shared" si="16"/>
        <v>0.99346405228758172</v>
      </c>
      <c r="J45" s="3">
        <f t="shared" si="16"/>
        <v>0.99346405228758172</v>
      </c>
      <c r="K45" s="3">
        <f t="shared" si="16"/>
        <v>0.99123661148977593</v>
      </c>
    </row>
    <row r="46" spans="1:11" x14ac:dyDescent="0.45">
      <c r="A46" s="23"/>
      <c r="B46" s="20" t="s">
        <v>17</v>
      </c>
      <c r="C46" s="3">
        <f>STDEV(C42:C44)</f>
        <v>5.8618876818404095E-2</v>
      </c>
      <c r="D46" s="3">
        <f t="shared" ref="D46:K46" si="17">STDEV(D42:D44)</f>
        <v>2.6457513110645907</v>
      </c>
      <c r="E46" s="3">
        <f t="shared" si="17"/>
        <v>7.1277811011066505E-3</v>
      </c>
      <c r="F46" s="3">
        <f t="shared" si="17"/>
        <v>5.7163392989072548E-3</v>
      </c>
      <c r="G46" s="3">
        <f t="shared" si="17"/>
        <v>5.6602967567613372E-3</v>
      </c>
      <c r="H46" s="3">
        <f t="shared" si="17"/>
        <v>0</v>
      </c>
      <c r="I46" s="3">
        <f t="shared" si="17"/>
        <v>1.1320593513522163E-2</v>
      </c>
      <c r="J46" s="3">
        <f t="shared" si="17"/>
        <v>1.1320593513522163E-2</v>
      </c>
      <c r="K46" s="3">
        <f t="shared" si="17"/>
        <v>1.517863414617329E-2</v>
      </c>
    </row>
    <row r="47" spans="1:11" x14ac:dyDescent="0.45">
      <c r="A47" s="23" t="s">
        <v>28</v>
      </c>
      <c r="B47" s="20">
        <v>1</v>
      </c>
      <c r="C47" s="2">
        <v>465.42699909210199</v>
      </c>
      <c r="D47" s="26">
        <v>1487</v>
      </c>
      <c r="E47" s="2">
        <f>0.962962962962962</f>
        <v>0.96296296296296202</v>
      </c>
      <c r="F47" s="2">
        <v>0.97142857142857097</v>
      </c>
      <c r="G47" s="2">
        <v>0.95</v>
      </c>
      <c r="H47" s="2">
        <v>0.94444444444444398</v>
      </c>
      <c r="I47" s="2">
        <v>1</v>
      </c>
      <c r="J47" s="2">
        <v>1</v>
      </c>
      <c r="K47" s="2">
        <v>0.91891891891891797</v>
      </c>
    </row>
    <row r="48" spans="1:11" x14ac:dyDescent="0.45">
      <c r="A48" s="23"/>
      <c r="B48" s="20">
        <v>2</v>
      </c>
      <c r="C48" s="2">
        <v>316.66187167167601</v>
      </c>
      <c r="D48" s="26">
        <v>2203</v>
      </c>
      <c r="E48" s="2">
        <f>0.987654320987654</f>
        <v>0.98765432098765404</v>
      </c>
      <c r="F48" s="2">
        <v>0.990291262135922</v>
      </c>
      <c r="G48" s="2">
        <v>0.98333333333333295</v>
      </c>
      <c r="H48" s="2">
        <v>0.98076923076922995</v>
      </c>
      <c r="I48" s="2">
        <v>1</v>
      </c>
      <c r="J48" s="2">
        <v>1</v>
      </c>
      <c r="K48" s="2">
        <v>0.97334649555774899</v>
      </c>
    </row>
    <row r="49" spans="1:11" x14ac:dyDescent="0.45">
      <c r="A49" s="23"/>
      <c r="B49" s="20">
        <v>3</v>
      </c>
      <c r="C49" s="2">
        <v>463.83435845374999</v>
      </c>
      <c r="D49" s="26">
        <v>1688</v>
      </c>
      <c r="E49" s="2">
        <f>0.975308641975308</f>
        <v>0.97530864197530798</v>
      </c>
      <c r="F49" s="2">
        <v>0.98076923076922995</v>
      </c>
      <c r="G49" s="2">
        <v>0.96666666666666601</v>
      </c>
      <c r="H49" s="2">
        <v>0.96226415094339601</v>
      </c>
      <c r="I49" s="2">
        <v>1</v>
      </c>
      <c r="J49" s="2">
        <v>1</v>
      </c>
      <c r="K49" s="2">
        <v>0.94632206759443305</v>
      </c>
    </row>
    <row r="50" spans="1:11" x14ac:dyDescent="0.45">
      <c r="A50" s="23"/>
      <c r="B50" s="20" t="s">
        <v>16</v>
      </c>
      <c r="C50" s="3">
        <f>AVERAGE(C47:C49)</f>
        <v>415.30774307250931</v>
      </c>
      <c r="D50" s="3">
        <f t="shared" ref="D50:K50" si="18">AVERAGE(D47:D49)</f>
        <v>1792.6666666666667</v>
      </c>
      <c r="E50" s="3">
        <f>AVERAGE(E47:E49)</f>
        <v>0.97530864197530809</v>
      </c>
      <c r="F50" s="3">
        <f t="shared" si="18"/>
        <v>0.98082968811124094</v>
      </c>
      <c r="G50" s="3">
        <f t="shared" si="18"/>
        <v>0.96666666666666634</v>
      </c>
      <c r="H50" s="3">
        <f t="shared" si="18"/>
        <v>0.96249260871902331</v>
      </c>
      <c r="I50" s="3">
        <f t="shared" si="18"/>
        <v>1</v>
      </c>
      <c r="J50" s="3">
        <f t="shared" si="18"/>
        <v>1</v>
      </c>
      <c r="K50" s="3">
        <f t="shared" si="18"/>
        <v>0.94619582735703334</v>
      </c>
    </row>
    <row r="51" spans="1:11" x14ac:dyDescent="0.45">
      <c r="A51" s="23"/>
      <c r="B51" s="20" t="s">
        <v>17</v>
      </c>
      <c r="C51" s="3">
        <f>STDEV(C47:C49)</f>
        <v>85.433541916351786</v>
      </c>
      <c r="D51" s="3">
        <f t="shared" ref="D51:K51" si="19">STDEV(D47:D49)</f>
        <v>369.29708004983337</v>
      </c>
      <c r="E51" s="3">
        <f t="shared" si="19"/>
        <v>1.2345679012346011E-2</v>
      </c>
      <c r="F51" s="3">
        <f t="shared" si="19"/>
        <v>9.4314906827048794E-3</v>
      </c>
      <c r="G51" s="3">
        <f t="shared" si="19"/>
        <v>1.6666666666666496E-2</v>
      </c>
      <c r="H51" s="3">
        <f t="shared" si="19"/>
        <v>1.81634707614424E-2</v>
      </c>
      <c r="I51" s="3">
        <f t="shared" si="19"/>
        <v>0</v>
      </c>
      <c r="J51" s="3">
        <f t="shared" si="19"/>
        <v>0</v>
      </c>
      <c r="K51" s="3">
        <f t="shared" si="19"/>
        <v>2.721400792132813E-2</v>
      </c>
    </row>
    <row r="52" spans="1:11" x14ac:dyDescent="0.45">
      <c r="A52" s="23" t="s">
        <v>34</v>
      </c>
      <c r="B52" s="20">
        <v>1</v>
      </c>
      <c r="C52" s="2">
        <v>12.4532840251922</v>
      </c>
      <c r="D52" s="26">
        <v>17</v>
      </c>
      <c r="E52" s="2">
        <f>1</f>
        <v>1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</row>
    <row r="53" spans="1:11" x14ac:dyDescent="0.45">
      <c r="A53" s="23"/>
      <c r="B53" s="20">
        <v>2</v>
      </c>
      <c r="C53" s="2">
        <v>12.402979850769</v>
      </c>
      <c r="D53" s="26">
        <v>15</v>
      </c>
      <c r="E53" s="2">
        <f>1</f>
        <v>1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</row>
    <row r="54" spans="1:11" x14ac:dyDescent="0.45">
      <c r="A54" s="23"/>
      <c r="B54" s="20">
        <v>3</v>
      </c>
      <c r="C54" s="2">
        <v>12.538219451904199</v>
      </c>
      <c r="D54" s="26">
        <v>18</v>
      </c>
      <c r="E54" s="2">
        <f>1</f>
        <v>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</row>
    <row r="55" spans="1:11" x14ac:dyDescent="0.45">
      <c r="A55" s="23"/>
      <c r="B55" s="20" t="s">
        <v>16</v>
      </c>
      <c r="C55" s="3">
        <f>AVERAGE(C52:C54)</f>
        <v>12.464827775955134</v>
      </c>
      <c r="D55" s="3">
        <f t="shared" ref="D55:K55" si="20">AVERAGE(D52:D54)</f>
        <v>16.666666666666668</v>
      </c>
      <c r="E55" s="3">
        <f t="shared" si="20"/>
        <v>1</v>
      </c>
      <c r="F55" s="3">
        <f t="shared" si="20"/>
        <v>1</v>
      </c>
      <c r="G55" s="3">
        <f t="shared" si="20"/>
        <v>1</v>
      </c>
      <c r="H55" s="3">
        <f t="shared" si="20"/>
        <v>1</v>
      </c>
      <c r="I55" s="3">
        <f t="shared" si="20"/>
        <v>1</v>
      </c>
      <c r="J55" s="3">
        <f t="shared" si="20"/>
        <v>1</v>
      </c>
      <c r="K55" s="3">
        <f t="shared" si="20"/>
        <v>1</v>
      </c>
    </row>
    <row r="56" spans="1:11" x14ac:dyDescent="0.45">
      <c r="A56" s="23"/>
      <c r="B56" s="20" t="s">
        <v>17</v>
      </c>
      <c r="C56" s="3">
        <f>STDEV(C52:C54)</f>
        <v>6.8354817423934761E-2</v>
      </c>
      <c r="D56" s="3">
        <f t="shared" ref="D56:K56" si="21">STDEV(D52:D54)</f>
        <v>1.5275252316519465</v>
      </c>
      <c r="E56" s="3">
        <f t="shared" si="21"/>
        <v>0</v>
      </c>
      <c r="F56" s="3">
        <f t="shared" si="21"/>
        <v>0</v>
      </c>
      <c r="G56" s="3">
        <f t="shared" si="21"/>
        <v>0</v>
      </c>
      <c r="H56" s="3">
        <f t="shared" si="21"/>
        <v>0</v>
      </c>
      <c r="I56" s="3">
        <f t="shared" si="21"/>
        <v>0</v>
      </c>
      <c r="J56" s="3">
        <f t="shared" si="21"/>
        <v>0</v>
      </c>
      <c r="K56" s="3">
        <f t="shared" si="21"/>
        <v>0</v>
      </c>
    </row>
    <row r="57" spans="1:11" x14ac:dyDescent="0.45">
      <c r="E57"/>
    </row>
    <row r="58" spans="1:11" x14ac:dyDescent="0.45">
      <c r="E58"/>
    </row>
    <row r="59" spans="1:11" x14ac:dyDescent="0.45">
      <c r="E59"/>
    </row>
    <row r="60" spans="1:11" x14ac:dyDescent="0.45">
      <c r="E60"/>
    </row>
    <row r="61" spans="1:11" x14ac:dyDescent="0.45">
      <c r="E61"/>
    </row>
    <row r="62" spans="1:11" x14ac:dyDescent="0.45">
      <c r="E62"/>
    </row>
    <row r="63" spans="1:11" x14ac:dyDescent="0.45">
      <c r="E63"/>
    </row>
    <row r="64" spans="1:11" x14ac:dyDescent="0.45">
      <c r="E64"/>
    </row>
    <row r="65" spans="5:5" x14ac:dyDescent="0.45">
      <c r="E65"/>
    </row>
    <row r="66" spans="5:5" x14ac:dyDescent="0.45">
      <c r="E66"/>
    </row>
    <row r="67" spans="5:5" x14ac:dyDescent="0.45">
      <c r="E67"/>
    </row>
    <row r="68" spans="5:5" x14ac:dyDescent="0.45">
      <c r="E68"/>
    </row>
    <row r="69" spans="5:5" x14ac:dyDescent="0.45">
      <c r="E69"/>
    </row>
    <row r="70" spans="5:5" x14ac:dyDescent="0.45">
      <c r="E70"/>
    </row>
    <row r="71" spans="5:5" x14ac:dyDescent="0.45">
      <c r="E71"/>
    </row>
    <row r="72" spans="5:5" x14ac:dyDescent="0.45">
      <c r="E72"/>
    </row>
    <row r="73" spans="5:5" x14ac:dyDescent="0.45">
      <c r="E73"/>
    </row>
    <row r="74" spans="5:5" x14ac:dyDescent="0.45">
      <c r="E74"/>
    </row>
  </sheetData>
  <mergeCells count="11">
    <mergeCell ref="A47:A51"/>
    <mergeCell ref="A52:A56"/>
    <mergeCell ref="A37:A41"/>
    <mergeCell ref="A42:A46"/>
    <mergeCell ref="A27:A31"/>
    <mergeCell ref="A32:A36"/>
    <mergeCell ref="A2:A6"/>
    <mergeCell ref="A7:A11"/>
    <mergeCell ref="A12:A16"/>
    <mergeCell ref="A17:A21"/>
    <mergeCell ref="A22:A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9CF46-5B5D-473C-AB83-02E2F331053F}">
  <dimension ref="B1:M4"/>
  <sheetViews>
    <sheetView workbookViewId="0">
      <selection activeCell="J2" sqref="J2:M2"/>
    </sheetView>
  </sheetViews>
  <sheetFormatPr defaultRowHeight="14.25" x14ac:dyDescent="0.45"/>
  <cols>
    <col min="3" max="3" width="12.86328125" customWidth="1"/>
    <col min="4" max="4" width="10.46484375" customWidth="1"/>
    <col min="10" max="10" width="10.19921875" customWidth="1"/>
    <col min="11" max="11" width="9.73046875" bestFit="1" customWidth="1"/>
  </cols>
  <sheetData>
    <row r="1" spans="2:13" x14ac:dyDescent="0.45">
      <c r="C1" t="s">
        <v>21</v>
      </c>
      <c r="D1" t="s">
        <v>22</v>
      </c>
      <c r="E1" t="s">
        <v>23</v>
      </c>
      <c r="F1" t="s">
        <v>24</v>
      </c>
      <c r="J1" t="s">
        <v>21</v>
      </c>
      <c r="K1" t="s">
        <v>22</v>
      </c>
      <c r="L1" t="s">
        <v>23</v>
      </c>
      <c r="M1" t="s">
        <v>24</v>
      </c>
    </row>
    <row r="2" spans="2:13" x14ac:dyDescent="0.45">
      <c r="B2" t="s">
        <v>26</v>
      </c>
      <c r="C2">
        <v>100</v>
      </c>
      <c r="D2">
        <v>100</v>
      </c>
      <c r="E2">
        <v>100</v>
      </c>
      <c r="F2">
        <v>100</v>
      </c>
      <c r="I2" t="s">
        <v>26</v>
      </c>
      <c r="J2" s="10">
        <v>0</v>
      </c>
      <c r="K2" s="10">
        <v>0</v>
      </c>
      <c r="L2" s="10">
        <v>0</v>
      </c>
      <c r="M2" s="10">
        <v>0</v>
      </c>
    </row>
    <row r="3" spans="2:13" x14ac:dyDescent="0.45">
      <c r="B3" t="s">
        <v>25</v>
      </c>
      <c r="C3">
        <v>97.175141242937841</v>
      </c>
      <c r="D3">
        <v>0.9917695473251027</v>
      </c>
      <c r="E3">
        <v>100</v>
      </c>
      <c r="F3">
        <v>100</v>
      </c>
      <c r="I3" t="s">
        <v>25</v>
      </c>
      <c r="J3" s="10">
        <v>0.97855977828750895</v>
      </c>
      <c r="K3" s="10">
        <v>7.1277811011066514E-3</v>
      </c>
      <c r="L3" s="10">
        <v>0</v>
      </c>
      <c r="M3" s="10">
        <v>0</v>
      </c>
    </row>
    <row r="4" spans="2:13" x14ac:dyDescent="0.45">
      <c r="B4" t="s">
        <v>9</v>
      </c>
      <c r="C4">
        <v>94.915254237288096</v>
      </c>
      <c r="D4">
        <v>92.655367231638365</v>
      </c>
      <c r="E4">
        <v>97.807017543859573</v>
      </c>
      <c r="F4">
        <v>94.4444444444444</v>
      </c>
      <c r="I4" t="s">
        <v>9</v>
      </c>
      <c r="J4" s="10">
        <v>0</v>
      </c>
      <c r="K4" s="10">
        <v>0.97855977828750895</v>
      </c>
      <c r="L4" s="10">
        <v>0.7596714068284437</v>
      </c>
      <c r="M4" s="10">
        <v>2.40562612162346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4EF3C-5C69-44C7-B877-56E2D44E33A3}">
  <dimension ref="A1:K31"/>
  <sheetViews>
    <sheetView workbookViewId="0">
      <selection activeCell="A2" sqref="A2:K31"/>
    </sheetView>
  </sheetViews>
  <sheetFormatPr defaultRowHeight="14.25" x14ac:dyDescent="0.45"/>
  <cols>
    <col min="5" max="5" width="9.06640625" style="16"/>
  </cols>
  <sheetData>
    <row r="1" spans="1:11" x14ac:dyDescent="0.45">
      <c r="A1" s="9" t="s">
        <v>19</v>
      </c>
      <c r="B1" s="9" t="s">
        <v>18</v>
      </c>
      <c r="C1" s="9" t="s">
        <v>0</v>
      </c>
      <c r="D1" s="9" t="s">
        <v>1</v>
      </c>
      <c r="E1" s="14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</row>
    <row r="2" spans="1:11" x14ac:dyDescent="0.45">
      <c r="A2" s="22" t="s">
        <v>25</v>
      </c>
      <c r="B2" s="20">
        <v>1</v>
      </c>
      <c r="C2" s="2">
        <v>1.13309454917907</v>
      </c>
      <c r="D2" s="26">
        <v>3</v>
      </c>
      <c r="E2" s="18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</row>
    <row r="3" spans="1:11" x14ac:dyDescent="0.45">
      <c r="A3" s="22"/>
      <c r="B3" s="20">
        <v>2</v>
      </c>
      <c r="C3" s="2">
        <v>0.42888259887695301</v>
      </c>
      <c r="D3" s="26">
        <v>3</v>
      </c>
      <c r="E3" s="18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</row>
    <row r="4" spans="1:11" x14ac:dyDescent="0.45">
      <c r="A4" s="22"/>
      <c r="B4" s="20">
        <v>3</v>
      </c>
      <c r="C4" s="2">
        <v>0.71851658821105902</v>
      </c>
      <c r="D4" s="26">
        <v>3</v>
      </c>
      <c r="E4" s="18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</row>
    <row r="5" spans="1:11" x14ac:dyDescent="0.45">
      <c r="A5" s="22"/>
      <c r="B5" s="20" t="s">
        <v>16</v>
      </c>
      <c r="C5" s="8">
        <f>AVERAGE(C2:C4)</f>
        <v>0.7601645787556941</v>
      </c>
      <c r="D5" s="8">
        <f t="shared" ref="D5:K5" si="0">AVERAGE(D2:D4)</f>
        <v>3</v>
      </c>
      <c r="E5" s="12">
        <f t="shared" si="0"/>
        <v>1</v>
      </c>
      <c r="F5" s="8">
        <f t="shared" si="0"/>
        <v>1</v>
      </c>
      <c r="G5" s="8">
        <f t="shared" si="0"/>
        <v>1</v>
      </c>
      <c r="H5" s="8">
        <f t="shared" si="0"/>
        <v>1</v>
      </c>
      <c r="I5" s="8">
        <f t="shared" si="0"/>
        <v>1</v>
      </c>
      <c r="J5" s="8">
        <f t="shared" si="0"/>
        <v>1</v>
      </c>
      <c r="K5" s="8">
        <f t="shared" si="0"/>
        <v>1</v>
      </c>
    </row>
    <row r="6" spans="1:11" x14ac:dyDescent="0.45">
      <c r="A6" s="22"/>
      <c r="B6" s="20" t="s">
        <v>17</v>
      </c>
      <c r="C6" s="8">
        <f>STDEV(C2:C4)</f>
        <v>0.35394849070787449</v>
      </c>
      <c r="D6" s="8">
        <f t="shared" ref="D6:K6" si="1">STDEV(D2:D4)</f>
        <v>0</v>
      </c>
      <c r="E6" s="12">
        <f t="shared" si="1"/>
        <v>0</v>
      </c>
      <c r="F6" s="8">
        <f t="shared" si="1"/>
        <v>0</v>
      </c>
      <c r="G6" s="8">
        <f t="shared" si="1"/>
        <v>0</v>
      </c>
      <c r="H6" s="8">
        <f t="shared" si="1"/>
        <v>0</v>
      </c>
      <c r="I6" s="8">
        <f t="shared" si="1"/>
        <v>0</v>
      </c>
      <c r="J6" s="8">
        <f t="shared" si="1"/>
        <v>0</v>
      </c>
      <c r="K6" s="8">
        <f t="shared" si="1"/>
        <v>0</v>
      </c>
    </row>
    <row r="7" spans="1:11" x14ac:dyDescent="0.45">
      <c r="A7" s="22" t="s">
        <v>9</v>
      </c>
      <c r="B7" s="20">
        <v>1</v>
      </c>
      <c r="C7" s="2">
        <v>126.2864279747</v>
      </c>
      <c r="D7" s="26">
        <v>7</v>
      </c>
      <c r="E7" s="18">
        <f>97.3684210526315/100</f>
        <v>0.97368421052631504</v>
      </c>
      <c r="F7" s="2">
        <v>0.96</v>
      </c>
      <c r="G7" s="2">
        <v>0.98076923076922995</v>
      </c>
      <c r="H7" s="2">
        <v>0.92307692307692302</v>
      </c>
      <c r="I7" s="2">
        <v>1</v>
      </c>
      <c r="J7" s="2">
        <v>1</v>
      </c>
      <c r="K7" s="2">
        <v>0.94043887147335403</v>
      </c>
    </row>
    <row r="8" spans="1:11" x14ac:dyDescent="0.45">
      <c r="A8" s="22"/>
      <c r="B8" s="20">
        <v>2</v>
      </c>
      <c r="C8" s="2">
        <v>195.48911547660799</v>
      </c>
      <c r="D8" s="26">
        <v>19</v>
      </c>
      <c r="E8" s="18">
        <f>98.6842105263157/100</f>
        <v>0.98684210526315697</v>
      </c>
      <c r="F8" s="2">
        <v>0.97872340425531901</v>
      </c>
      <c r="G8" s="2">
        <v>0.97916666666666596</v>
      </c>
      <c r="H8" s="2">
        <v>1</v>
      </c>
      <c r="I8" s="2">
        <v>0.95833333333333304</v>
      </c>
      <c r="J8" s="2">
        <v>0.95833333333333304</v>
      </c>
      <c r="K8" s="2">
        <v>0.96920583468395405</v>
      </c>
    </row>
    <row r="9" spans="1:11" x14ac:dyDescent="0.45">
      <c r="A9" s="22"/>
      <c r="B9" s="20">
        <v>3</v>
      </c>
      <c r="C9" s="2">
        <v>195.361964464187</v>
      </c>
      <c r="D9" s="26">
        <v>43</v>
      </c>
      <c r="E9" s="18">
        <f>97.3684210526315/100</f>
        <v>0.97368421052631504</v>
      </c>
      <c r="F9" s="2">
        <v>0.95833333333333304</v>
      </c>
      <c r="G9" s="2">
        <v>0.96955128205128205</v>
      </c>
      <c r="H9" s="2">
        <v>0.95833333333333304</v>
      </c>
      <c r="I9" s="2">
        <v>0.95833333333333304</v>
      </c>
      <c r="J9" s="2">
        <v>0.95833333333333304</v>
      </c>
      <c r="K9" s="2">
        <v>0.93910256410256399</v>
      </c>
    </row>
    <row r="10" spans="1:11" x14ac:dyDescent="0.45">
      <c r="A10" s="22"/>
      <c r="B10" s="20" t="s">
        <v>16</v>
      </c>
      <c r="C10" s="8">
        <f>AVERAGE(C7:C9)</f>
        <v>172.37916930516499</v>
      </c>
      <c r="D10" s="8">
        <f t="shared" ref="D10:K10" si="2">AVERAGE(D7:D9)</f>
        <v>23</v>
      </c>
      <c r="E10" s="12">
        <f t="shared" si="2"/>
        <v>0.97807017543859576</v>
      </c>
      <c r="F10" s="8">
        <f t="shared" si="2"/>
        <v>0.96568557919621734</v>
      </c>
      <c r="G10" s="8">
        <f t="shared" si="2"/>
        <v>0.97649572649572602</v>
      </c>
      <c r="H10" s="8">
        <f t="shared" si="2"/>
        <v>0.96047008547008528</v>
      </c>
      <c r="I10" s="8">
        <f t="shared" si="2"/>
        <v>0.97222222222222199</v>
      </c>
      <c r="J10" s="8">
        <f t="shared" si="2"/>
        <v>0.97222222222222199</v>
      </c>
      <c r="K10" s="8">
        <f t="shared" si="2"/>
        <v>0.94958242341995736</v>
      </c>
    </row>
    <row r="11" spans="1:11" x14ac:dyDescent="0.45">
      <c r="A11" s="22"/>
      <c r="B11" s="20" t="s">
        <v>17</v>
      </c>
      <c r="C11" s="8">
        <f>STDEV(C7:C9)</f>
        <v>39.917535549716135</v>
      </c>
      <c r="D11" s="8">
        <f t="shared" ref="D11:K11" si="3">STDEV(D7:D9)</f>
        <v>18.330302779823359</v>
      </c>
      <c r="E11" s="12">
        <f t="shared" si="3"/>
        <v>7.596714068284445E-3</v>
      </c>
      <c r="F11" s="8">
        <f t="shared" si="3"/>
        <v>1.1321797831980982E-2</v>
      </c>
      <c r="G11" s="8">
        <f t="shared" si="3"/>
        <v>6.0672097711536961E-3</v>
      </c>
      <c r="H11" s="8">
        <f t="shared" si="3"/>
        <v>3.8506028399444697E-2</v>
      </c>
      <c r="I11" s="8">
        <f t="shared" si="3"/>
        <v>2.4056261216234578E-2</v>
      </c>
      <c r="J11" s="8">
        <f t="shared" si="3"/>
        <v>2.4056261216234578E-2</v>
      </c>
      <c r="K11" s="8">
        <f t="shared" si="3"/>
        <v>1.7007502214442635E-2</v>
      </c>
    </row>
    <row r="12" spans="1:11" x14ac:dyDescent="0.45">
      <c r="A12" s="22" t="s">
        <v>12</v>
      </c>
      <c r="B12" s="20">
        <v>1</v>
      </c>
      <c r="C12" s="2">
        <v>556.35163736343304</v>
      </c>
      <c r="D12" s="26">
        <v>11596</v>
      </c>
      <c r="E12" s="18">
        <f>82.8947368421052/100</f>
        <v>0.82894736842105199</v>
      </c>
      <c r="F12" s="2">
        <v>0.64864864864864802</v>
      </c>
      <c r="G12" s="2">
        <v>0.74038461538461497</v>
      </c>
      <c r="H12" s="2">
        <v>0.92307692307692302</v>
      </c>
      <c r="I12" s="2">
        <v>0.5</v>
      </c>
      <c r="J12" s="2">
        <v>0.5</v>
      </c>
      <c r="K12" s="2">
        <v>0.54844606946983498</v>
      </c>
    </row>
    <row r="13" spans="1:11" x14ac:dyDescent="0.45">
      <c r="A13" s="22"/>
      <c r="B13" s="20">
        <v>2</v>
      </c>
      <c r="C13" s="2">
        <v>668.78330850601196</v>
      </c>
      <c r="D13" s="26">
        <v>11761</v>
      </c>
      <c r="E13" s="18">
        <f>82.8947368421052/100</f>
        <v>0.82894736842105199</v>
      </c>
      <c r="F13" s="2">
        <v>0.64864864864864802</v>
      </c>
      <c r="G13" s="2">
        <v>0.74038461538461497</v>
      </c>
      <c r="H13" s="2">
        <v>0.92307692307692302</v>
      </c>
      <c r="I13" s="2">
        <v>0.5</v>
      </c>
      <c r="J13" s="2">
        <v>0.5</v>
      </c>
      <c r="K13" s="2">
        <v>0.54844606946983498</v>
      </c>
    </row>
    <row r="14" spans="1:11" x14ac:dyDescent="0.45">
      <c r="A14" s="22"/>
      <c r="B14" s="20">
        <v>3</v>
      </c>
      <c r="C14" s="2">
        <v>650.41376399993896</v>
      </c>
      <c r="D14" s="26">
        <v>11831</v>
      </c>
      <c r="E14" s="18">
        <f>82.8947368421052/100</f>
        <v>0.82894736842105199</v>
      </c>
      <c r="F14" s="2">
        <v>0.64864864864864802</v>
      </c>
      <c r="G14" s="2">
        <v>0.74038461538461497</v>
      </c>
      <c r="H14" s="2">
        <v>0.92307692307692302</v>
      </c>
      <c r="I14" s="2">
        <v>0.5</v>
      </c>
      <c r="J14" s="2">
        <v>0.5</v>
      </c>
      <c r="K14" s="2">
        <v>0.54844606946983498</v>
      </c>
    </row>
    <row r="15" spans="1:11" x14ac:dyDescent="0.45">
      <c r="A15" s="22"/>
      <c r="B15" s="20" t="s">
        <v>16</v>
      </c>
      <c r="C15" s="8">
        <f>AVERAGE(C12:C14)</f>
        <v>625.18290328979458</v>
      </c>
      <c r="D15" s="8">
        <f t="shared" ref="D15:K15" si="4">AVERAGE(D12:D14)</f>
        <v>11729.333333333334</v>
      </c>
      <c r="E15" s="12">
        <f t="shared" si="4"/>
        <v>0.82894736842105188</v>
      </c>
      <c r="F15" s="8">
        <f t="shared" si="4"/>
        <v>0.64864864864864802</v>
      </c>
      <c r="G15" s="8">
        <f t="shared" si="4"/>
        <v>0.74038461538461497</v>
      </c>
      <c r="H15" s="8">
        <f t="shared" si="4"/>
        <v>0.92307692307692302</v>
      </c>
      <c r="I15" s="8">
        <f t="shared" si="4"/>
        <v>0.5</v>
      </c>
      <c r="J15" s="8">
        <f t="shared" si="4"/>
        <v>0.5</v>
      </c>
      <c r="K15" s="8">
        <f t="shared" si="4"/>
        <v>0.54844606946983498</v>
      </c>
    </row>
    <row r="16" spans="1:11" x14ac:dyDescent="0.45">
      <c r="A16" s="22"/>
      <c r="B16" s="20" t="s">
        <v>17</v>
      </c>
      <c r="C16" s="8">
        <f>STDEV(C12:C14)</f>
        <v>60.313078333884448</v>
      </c>
      <c r="D16" s="8">
        <f t="shared" ref="D16:K16" si="5">STDEV(D12:D14)</f>
        <v>120.65791865158845</v>
      </c>
      <c r="E16" s="12">
        <f t="shared" si="5"/>
        <v>1.3597399555105182E-16</v>
      </c>
      <c r="F16" s="8">
        <f t="shared" si="5"/>
        <v>0</v>
      </c>
      <c r="G16" s="8">
        <f t="shared" si="5"/>
        <v>0</v>
      </c>
      <c r="H16" s="8">
        <f t="shared" si="5"/>
        <v>0</v>
      </c>
      <c r="I16" s="8">
        <f t="shared" si="5"/>
        <v>0</v>
      </c>
      <c r="J16" s="8">
        <f t="shared" si="5"/>
        <v>0</v>
      </c>
      <c r="K16" s="8">
        <f t="shared" si="5"/>
        <v>0</v>
      </c>
    </row>
    <row r="17" spans="1:11" x14ac:dyDescent="0.45">
      <c r="A17" s="22" t="s">
        <v>31</v>
      </c>
      <c r="B17" s="20">
        <v>1</v>
      </c>
      <c r="C17" s="2">
        <v>591.51189875602699</v>
      </c>
      <c r="D17" s="26">
        <v>11147</v>
      </c>
      <c r="E17" s="18">
        <f>76.3157894736842/100</f>
        <v>0.76315789473684204</v>
      </c>
      <c r="F17" s="2">
        <v>0.4375</v>
      </c>
      <c r="G17" s="2">
        <v>0.63621794871794801</v>
      </c>
      <c r="H17" s="2">
        <v>0.875</v>
      </c>
      <c r="I17" s="2">
        <v>0.29166666666666602</v>
      </c>
      <c r="J17" s="2">
        <v>0.29166666666666602</v>
      </c>
      <c r="K17" s="2">
        <v>0.33203125</v>
      </c>
    </row>
    <row r="18" spans="1:11" x14ac:dyDescent="0.45">
      <c r="A18" s="22"/>
      <c r="B18" s="20">
        <v>2</v>
      </c>
      <c r="C18" s="2">
        <v>540.55961823463394</v>
      </c>
      <c r="D18" s="26">
        <v>11150</v>
      </c>
      <c r="E18" s="18">
        <f>76.3157894736842/100</f>
        <v>0.76315789473684204</v>
      </c>
      <c r="F18" s="2">
        <v>0.4375</v>
      </c>
      <c r="G18" s="2">
        <v>0.63621794871794801</v>
      </c>
      <c r="H18" s="2">
        <v>0.875</v>
      </c>
      <c r="I18" s="2">
        <v>0.29166666666666602</v>
      </c>
      <c r="J18" s="2">
        <v>0.29166666666666602</v>
      </c>
      <c r="K18" s="2">
        <v>0.33203125</v>
      </c>
    </row>
    <row r="19" spans="1:11" x14ac:dyDescent="0.45">
      <c r="A19" s="22"/>
      <c r="B19" s="20">
        <v>3</v>
      </c>
      <c r="C19" s="2">
        <v>614.97214460372902</v>
      </c>
      <c r="D19" s="26">
        <v>11185</v>
      </c>
      <c r="E19" s="18">
        <f>76.3157894736842/100</f>
        <v>0.76315789473684204</v>
      </c>
      <c r="F19" s="2">
        <v>0.4375</v>
      </c>
      <c r="G19" s="2">
        <v>0.63621794871794801</v>
      </c>
      <c r="H19" s="2">
        <v>0.875</v>
      </c>
      <c r="I19" s="2">
        <v>0.29166666666666602</v>
      </c>
      <c r="J19" s="2">
        <v>0.29166666666666602</v>
      </c>
      <c r="K19" s="2">
        <v>0.33203125</v>
      </c>
    </row>
    <row r="20" spans="1:11" x14ac:dyDescent="0.45">
      <c r="A20" s="22"/>
      <c r="B20" s="20" t="s">
        <v>16</v>
      </c>
      <c r="C20" s="8">
        <f>AVERAGE(C17:C19)</f>
        <v>582.34788719813002</v>
      </c>
      <c r="D20" s="8">
        <f t="shared" ref="D20:K20" si="6">AVERAGE(D17:D19)</f>
        <v>11160.666666666666</v>
      </c>
      <c r="E20" s="12">
        <f t="shared" si="6"/>
        <v>0.76315789473684204</v>
      </c>
      <c r="F20" s="8">
        <f t="shared" si="6"/>
        <v>0.4375</v>
      </c>
      <c r="G20" s="8">
        <f t="shared" si="6"/>
        <v>0.63621794871794801</v>
      </c>
      <c r="H20" s="8">
        <f t="shared" si="6"/>
        <v>0.875</v>
      </c>
      <c r="I20" s="8">
        <f t="shared" si="6"/>
        <v>0.29166666666666602</v>
      </c>
      <c r="J20" s="8">
        <f t="shared" si="6"/>
        <v>0.29166666666666602</v>
      </c>
      <c r="K20" s="8">
        <f t="shared" si="6"/>
        <v>0.33203125</v>
      </c>
    </row>
    <row r="21" spans="1:11" x14ac:dyDescent="0.45">
      <c r="A21" s="22"/>
      <c r="B21" s="20" t="s">
        <v>17</v>
      </c>
      <c r="C21" s="8">
        <f>STDEV(C17:C19)</f>
        <v>38.043269457721031</v>
      </c>
      <c r="D21" s="8">
        <f t="shared" ref="D21:K21" si="7">STDEV(D17:D19)</f>
        <v>21.126602503321099</v>
      </c>
      <c r="E21" s="12">
        <f t="shared" si="7"/>
        <v>0</v>
      </c>
      <c r="F21" s="8">
        <f t="shared" si="7"/>
        <v>0</v>
      </c>
      <c r="G21" s="8">
        <f t="shared" si="7"/>
        <v>0</v>
      </c>
      <c r="H21" s="8">
        <f t="shared" si="7"/>
        <v>0</v>
      </c>
      <c r="I21" s="8">
        <f t="shared" si="7"/>
        <v>0</v>
      </c>
      <c r="J21" s="8">
        <f t="shared" si="7"/>
        <v>0</v>
      </c>
      <c r="K21" s="8">
        <f t="shared" si="7"/>
        <v>0</v>
      </c>
    </row>
    <row r="22" spans="1:11" x14ac:dyDescent="0.45">
      <c r="A22" s="22" t="s">
        <v>27</v>
      </c>
      <c r="B22" s="20">
        <v>1</v>
      </c>
      <c r="C22" s="10">
        <v>161.88109683990399</v>
      </c>
      <c r="D22" s="25">
        <v>11607</v>
      </c>
      <c r="E22" s="10">
        <f>0.776315789473684</f>
        <v>0.77631578947368396</v>
      </c>
      <c r="F22" s="10">
        <v>0.48484848484848397</v>
      </c>
      <c r="G22" s="10">
        <v>0.65705128205128105</v>
      </c>
      <c r="H22" s="10">
        <v>0.88888888888888795</v>
      </c>
      <c r="I22" s="10">
        <v>0.33333333333333298</v>
      </c>
      <c r="J22" s="10">
        <v>0.33333333333333298</v>
      </c>
      <c r="K22" s="10">
        <v>0.37764932562620401</v>
      </c>
    </row>
    <row r="23" spans="1:11" x14ac:dyDescent="0.45">
      <c r="A23" s="22"/>
      <c r="B23" s="20">
        <v>2</v>
      </c>
      <c r="C23" s="10">
        <v>145.854364395141</v>
      </c>
      <c r="D23" s="25">
        <v>11581</v>
      </c>
      <c r="E23" s="10">
        <f>0.776315789473684</f>
        <v>0.77631578947368396</v>
      </c>
      <c r="F23" s="10">
        <v>0.48484848484848397</v>
      </c>
      <c r="G23" s="10">
        <v>0.65705128205128105</v>
      </c>
      <c r="H23" s="10">
        <v>0.88888888888888795</v>
      </c>
      <c r="I23" s="10">
        <v>0.33333333333333298</v>
      </c>
      <c r="J23" s="10">
        <v>0.33333333333333298</v>
      </c>
      <c r="K23" s="10">
        <v>0.37764932562620401</v>
      </c>
    </row>
    <row r="24" spans="1:11" x14ac:dyDescent="0.45">
      <c r="A24" s="22"/>
      <c r="B24" s="20">
        <v>3</v>
      </c>
      <c r="C24" s="10">
        <v>116.18964266777</v>
      </c>
      <c r="D24" s="25">
        <v>11659</v>
      </c>
      <c r="E24" s="10">
        <f>0.776315789473684</f>
        <v>0.77631578947368396</v>
      </c>
      <c r="F24" s="10">
        <v>0.48484848484848397</v>
      </c>
      <c r="G24" s="10">
        <v>0.65705128205128105</v>
      </c>
      <c r="H24" s="10">
        <v>0.88888888888888795</v>
      </c>
      <c r="I24" s="10">
        <v>0.33333333333333298</v>
      </c>
      <c r="J24" s="10">
        <v>0.33333333333333298</v>
      </c>
      <c r="K24" s="10">
        <v>0.37764932562620401</v>
      </c>
    </row>
    <row r="25" spans="1:11" x14ac:dyDescent="0.45">
      <c r="A25" s="22"/>
      <c r="B25" s="20" t="s">
        <v>16</v>
      </c>
      <c r="C25" s="3">
        <f>AVERAGE(C22:C24)</f>
        <v>141.30836796760499</v>
      </c>
      <c r="D25" s="3">
        <f t="shared" ref="D25:K25" si="8">AVERAGE(D22:D24)</f>
        <v>11615.666666666666</v>
      </c>
      <c r="E25" s="3">
        <f t="shared" si="8"/>
        <v>0.77631578947368396</v>
      </c>
      <c r="F25" s="3">
        <f t="shared" si="8"/>
        <v>0.48484848484848397</v>
      </c>
      <c r="G25" s="3">
        <f t="shared" si="8"/>
        <v>0.65705128205128105</v>
      </c>
      <c r="H25" s="3">
        <f t="shared" si="8"/>
        <v>0.88888888888888795</v>
      </c>
      <c r="I25" s="3">
        <f t="shared" si="8"/>
        <v>0.33333333333333298</v>
      </c>
      <c r="J25" s="3">
        <f t="shared" si="8"/>
        <v>0.33333333333333298</v>
      </c>
      <c r="K25" s="3">
        <f t="shared" si="8"/>
        <v>0.37764932562620396</v>
      </c>
    </row>
    <row r="26" spans="1:11" x14ac:dyDescent="0.45">
      <c r="A26" s="22"/>
      <c r="B26" s="20" t="s">
        <v>17</v>
      </c>
      <c r="C26" s="3">
        <f>STDEV(C22:C24)</f>
        <v>23.18246770148567</v>
      </c>
      <c r="D26" s="3">
        <f t="shared" ref="D26:K26" si="9">STDEV(D22:D24)</f>
        <v>39.715656022950618</v>
      </c>
      <c r="E26" s="3">
        <f t="shared" si="9"/>
        <v>0</v>
      </c>
      <c r="F26" s="3">
        <f t="shared" si="9"/>
        <v>0</v>
      </c>
      <c r="G26" s="3">
        <f t="shared" si="9"/>
        <v>0</v>
      </c>
      <c r="H26" s="3">
        <f t="shared" si="9"/>
        <v>0</v>
      </c>
      <c r="I26" s="3">
        <f t="shared" si="9"/>
        <v>0</v>
      </c>
      <c r="J26" s="3">
        <f t="shared" si="9"/>
        <v>0</v>
      </c>
      <c r="K26" s="3">
        <f t="shared" si="9"/>
        <v>6.7986997775525911E-17</v>
      </c>
    </row>
    <row r="27" spans="1:11" x14ac:dyDescent="0.45">
      <c r="A27" s="21" t="s">
        <v>28</v>
      </c>
      <c r="B27" s="20">
        <v>1</v>
      </c>
      <c r="C27" s="10">
        <v>239.612280845642</v>
      </c>
      <c r="D27" s="25">
        <v>27</v>
      </c>
      <c r="E27" s="10">
        <f>0.973684210526315</f>
        <v>0.97368421052631504</v>
      </c>
      <c r="F27" s="10">
        <v>0.96</v>
      </c>
      <c r="G27" s="10">
        <v>0.98076923076922995</v>
      </c>
      <c r="H27" s="10">
        <v>0.92307692307692302</v>
      </c>
      <c r="I27" s="10">
        <v>1</v>
      </c>
      <c r="J27" s="10">
        <v>1</v>
      </c>
      <c r="K27" s="10">
        <v>0.94043887147335403</v>
      </c>
    </row>
    <row r="28" spans="1:11" x14ac:dyDescent="0.45">
      <c r="A28" s="21"/>
      <c r="B28" s="20">
        <v>2</v>
      </c>
      <c r="C28" s="10">
        <v>6918.7805471420197</v>
      </c>
      <c r="D28" s="25">
        <v>136</v>
      </c>
      <c r="E28" s="10">
        <f>0.934210526315789</f>
        <v>0.93421052631578905</v>
      </c>
      <c r="F28" s="10">
        <v>0.88888888888888795</v>
      </c>
      <c r="G28" s="10">
        <v>0.90705128205128205</v>
      </c>
      <c r="H28" s="10">
        <v>0.952380952380952</v>
      </c>
      <c r="I28" s="10">
        <v>0.83333333333333304</v>
      </c>
      <c r="J28" s="10">
        <v>0.83333333333333304</v>
      </c>
      <c r="K28" s="10">
        <v>0.84245439469320005</v>
      </c>
    </row>
    <row r="29" spans="1:11" x14ac:dyDescent="0.45">
      <c r="A29" s="21"/>
      <c r="B29" s="20">
        <v>3</v>
      </c>
      <c r="C29" s="10">
        <v>13449.283534288399</v>
      </c>
      <c r="D29" s="25">
        <v>30</v>
      </c>
      <c r="E29" s="10">
        <f>0.960526315789473</f>
        <v>0.96052631578947301</v>
      </c>
      <c r="F29" s="10">
        <v>0.93877551020408101</v>
      </c>
      <c r="G29" s="10">
        <v>0.95993589743589702</v>
      </c>
      <c r="H29" s="10">
        <v>0.92</v>
      </c>
      <c r="I29" s="10">
        <v>0.95833333333333304</v>
      </c>
      <c r="J29" s="10">
        <v>0.95833333333333304</v>
      </c>
      <c r="K29" s="10">
        <v>0.90966719492868398</v>
      </c>
    </row>
    <row r="30" spans="1:11" x14ac:dyDescent="0.45">
      <c r="A30" s="21"/>
      <c r="B30" s="31" t="s">
        <v>16</v>
      </c>
      <c r="C30" s="3">
        <f>AVERAGE(C27:C29)</f>
        <v>6869.2254540920212</v>
      </c>
      <c r="D30" s="3">
        <f t="shared" ref="D30:K30" si="10">AVERAGE(D27:D29)</f>
        <v>64.333333333333329</v>
      </c>
      <c r="E30" s="13">
        <f t="shared" si="10"/>
        <v>0.95614035087719229</v>
      </c>
      <c r="F30" s="3">
        <f t="shared" si="10"/>
        <v>0.9292214663643229</v>
      </c>
      <c r="G30" s="3">
        <f t="shared" si="10"/>
        <v>0.94925213675213627</v>
      </c>
      <c r="H30" s="3">
        <f t="shared" si="10"/>
        <v>0.93181929181929168</v>
      </c>
      <c r="I30" s="3">
        <f t="shared" si="10"/>
        <v>0.93055555555555536</v>
      </c>
      <c r="J30" s="3">
        <f t="shared" si="10"/>
        <v>0.93055555555555536</v>
      </c>
      <c r="K30" s="3">
        <f t="shared" si="10"/>
        <v>0.89752015369841276</v>
      </c>
    </row>
    <row r="31" spans="1:11" x14ac:dyDescent="0.45">
      <c r="A31" s="21"/>
      <c r="B31" s="31" t="s">
        <v>17</v>
      </c>
      <c r="C31" s="3">
        <f>STDEV(C27:C29)</f>
        <v>6604.9750519168028</v>
      </c>
      <c r="D31" s="3">
        <f t="shared" ref="D31:K31" si="11">STDEV(D27:D29)</f>
        <v>62.083277404896506</v>
      </c>
      <c r="E31" s="13">
        <f t="shared" si="11"/>
        <v>2.00990162059465E-2</v>
      </c>
      <c r="F31" s="3">
        <f t="shared" si="11"/>
        <v>3.6505579657543356E-2</v>
      </c>
      <c r="G31" s="3">
        <f t="shared" si="11"/>
        <v>3.8002513700496211E-2</v>
      </c>
      <c r="H31" s="3">
        <f t="shared" si="11"/>
        <v>1.787325593435701E-2</v>
      </c>
      <c r="I31" s="3">
        <f t="shared" si="11"/>
        <v>8.673608331108898E-2</v>
      </c>
      <c r="J31" s="3">
        <f t="shared" si="11"/>
        <v>8.673608331108898E-2</v>
      </c>
      <c r="K31" s="3">
        <f t="shared" si="11"/>
        <v>5.0108905201147295E-2</v>
      </c>
    </row>
  </sheetData>
  <mergeCells count="6">
    <mergeCell ref="A27:A31"/>
    <mergeCell ref="A2:A6"/>
    <mergeCell ref="A7:A11"/>
    <mergeCell ref="A12:A16"/>
    <mergeCell ref="A17:A21"/>
    <mergeCell ref="A22:A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E4B98-5DF2-4C86-9C04-02BF6157FE5F}">
  <dimension ref="A1:K52"/>
  <sheetViews>
    <sheetView tabSelected="1" workbookViewId="0">
      <selection activeCell="H15" sqref="H15"/>
    </sheetView>
  </sheetViews>
  <sheetFormatPr defaultRowHeight="14.25" x14ac:dyDescent="0.45"/>
  <cols>
    <col min="5" max="5" width="9.06640625" style="16"/>
  </cols>
  <sheetData>
    <row r="1" spans="1:11" x14ac:dyDescent="0.45">
      <c r="A1" s="1" t="s">
        <v>19</v>
      </c>
      <c r="B1" s="1" t="s">
        <v>18</v>
      </c>
      <c r="C1" s="9" t="s">
        <v>0</v>
      </c>
      <c r="D1" s="9" t="s">
        <v>1</v>
      </c>
      <c r="E1" s="14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</row>
    <row r="2" spans="1:11" x14ac:dyDescent="0.45">
      <c r="A2" s="23" t="s">
        <v>10</v>
      </c>
      <c r="B2" s="4">
        <v>1</v>
      </c>
      <c r="C2" s="2">
        <v>0.85205793380737305</v>
      </c>
      <c r="D2" s="26">
        <v>36</v>
      </c>
      <c r="E2" s="18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</row>
    <row r="3" spans="1:11" x14ac:dyDescent="0.45">
      <c r="A3" s="23"/>
      <c r="B3" s="4">
        <v>2</v>
      </c>
      <c r="C3" s="2">
        <v>0.84930944442749001</v>
      </c>
      <c r="D3" s="26">
        <v>36</v>
      </c>
      <c r="E3" s="18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</row>
    <row r="4" spans="1:11" x14ac:dyDescent="0.45">
      <c r="A4" s="23"/>
      <c r="B4" s="4">
        <v>3</v>
      </c>
      <c r="C4" s="2">
        <v>0.95454120635986295</v>
      </c>
      <c r="D4" s="26">
        <v>36</v>
      </c>
      <c r="E4" s="18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</row>
    <row r="5" spans="1:11" x14ac:dyDescent="0.45">
      <c r="A5" s="23"/>
      <c r="B5" s="4" t="s">
        <v>16</v>
      </c>
      <c r="C5" s="8">
        <f>AVERAGE(C2:C4)</f>
        <v>0.88530286153157534</v>
      </c>
      <c r="D5" s="8">
        <f t="shared" ref="D5:K5" si="0">AVERAGE(D2:D4)</f>
        <v>36</v>
      </c>
      <c r="E5" s="12">
        <f t="shared" si="0"/>
        <v>1</v>
      </c>
      <c r="F5" s="8">
        <f t="shared" si="0"/>
        <v>1</v>
      </c>
      <c r="G5" s="8">
        <f t="shared" si="0"/>
        <v>1</v>
      </c>
      <c r="H5" s="8">
        <f t="shared" si="0"/>
        <v>1</v>
      </c>
      <c r="I5" s="8">
        <f t="shared" si="0"/>
        <v>1</v>
      </c>
      <c r="J5" s="8">
        <f t="shared" si="0"/>
        <v>1</v>
      </c>
      <c r="K5" s="8">
        <f t="shared" si="0"/>
        <v>1</v>
      </c>
    </row>
    <row r="6" spans="1:11" x14ac:dyDescent="0.45">
      <c r="A6" s="23"/>
      <c r="B6" s="4" t="s">
        <v>17</v>
      </c>
      <c r="C6" s="8">
        <f>STDEV(C2:C4)</f>
        <v>5.9977911303983229E-2</v>
      </c>
      <c r="D6" s="8">
        <f t="shared" ref="D6:K6" si="1">STDEV(D2:D4)</f>
        <v>0</v>
      </c>
      <c r="E6" s="12">
        <f t="shared" si="1"/>
        <v>0</v>
      </c>
      <c r="F6" s="8">
        <f t="shared" si="1"/>
        <v>0</v>
      </c>
      <c r="G6" s="8">
        <f t="shared" si="1"/>
        <v>0</v>
      </c>
      <c r="H6" s="8">
        <f t="shared" si="1"/>
        <v>0</v>
      </c>
      <c r="I6" s="8">
        <f t="shared" si="1"/>
        <v>0</v>
      </c>
      <c r="J6" s="8">
        <f t="shared" si="1"/>
        <v>0</v>
      </c>
      <c r="K6" s="8">
        <f t="shared" si="1"/>
        <v>0</v>
      </c>
    </row>
    <row r="7" spans="1:11" x14ac:dyDescent="0.45">
      <c r="A7" s="23" t="s">
        <v>9</v>
      </c>
      <c r="B7" s="4">
        <v>1</v>
      </c>
      <c r="C7" s="2">
        <v>153.17598676681499</v>
      </c>
      <c r="D7" s="26">
        <v>13</v>
      </c>
      <c r="E7" s="18">
        <f>95.8333333333333/100</f>
        <v>0.95833333333333304</v>
      </c>
      <c r="F7" s="2">
        <v>0.94736842105263097</v>
      </c>
      <c r="G7" s="2">
        <v>0.95</v>
      </c>
      <c r="H7" s="2">
        <v>1</v>
      </c>
      <c r="I7" s="2">
        <v>0.9</v>
      </c>
      <c r="J7" s="2">
        <v>0.9</v>
      </c>
      <c r="K7" s="2">
        <v>0.91304347826086896</v>
      </c>
    </row>
    <row r="8" spans="1:11" x14ac:dyDescent="0.45">
      <c r="A8" s="23"/>
      <c r="B8" s="4">
        <v>2</v>
      </c>
      <c r="C8" s="2">
        <v>239.77648544311501</v>
      </c>
      <c r="D8" s="26">
        <v>5</v>
      </c>
      <c r="E8" s="18">
        <f>95.8333333333333/100</f>
        <v>0.95833333333333304</v>
      </c>
      <c r="F8" s="2">
        <v>0.94736842105263097</v>
      </c>
      <c r="G8" s="2">
        <v>0.95</v>
      </c>
      <c r="H8" s="2">
        <v>1</v>
      </c>
      <c r="I8" s="2">
        <v>0.9</v>
      </c>
      <c r="J8" s="2">
        <v>0.9</v>
      </c>
      <c r="K8" s="2">
        <v>0.91304347826086896</v>
      </c>
    </row>
    <row r="9" spans="1:11" x14ac:dyDescent="0.45">
      <c r="A9" s="23"/>
      <c r="B9" s="4">
        <v>3</v>
      </c>
      <c r="C9" s="2">
        <v>272.68894052505402</v>
      </c>
      <c r="D9" s="26">
        <v>13</v>
      </c>
      <c r="E9" s="18">
        <f>91.6666666666666/100</f>
        <v>0.91666666666666596</v>
      </c>
      <c r="F9" s="2">
        <v>0.88888888888888795</v>
      </c>
      <c r="G9" s="2">
        <v>0.9</v>
      </c>
      <c r="H9" s="2">
        <v>1</v>
      </c>
      <c r="I9" s="2">
        <v>0.8</v>
      </c>
      <c r="J9" s="2">
        <v>0.8</v>
      </c>
      <c r="K9" s="2">
        <v>0.82352941176470495</v>
      </c>
    </row>
    <row r="10" spans="1:11" x14ac:dyDescent="0.45">
      <c r="A10" s="23"/>
      <c r="B10" s="4" t="s">
        <v>16</v>
      </c>
      <c r="C10" s="8">
        <f>AVERAGE(C7:C9)</f>
        <v>221.88047091166132</v>
      </c>
      <c r="D10" s="8">
        <f t="shared" ref="D10:K10" si="2">AVERAGE(D7:D9)</f>
        <v>10.333333333333334</v>
      </c>
      <c r="E10" s="12">
        <f t="shared" si="2"/>
        <v>0.94444444444444409</v>
      </c>
      <c r="F10" s="8">
        <f t="shared" si="2"/>
        <v>0.92787524366471663</v>
      </c>
      <c r="G10" s="8">
        <f t="shared" si="2"/>
        <v>0.93333333333333324</v>
      </c>
      <c r="H10" s="8">
        <f t="shared" si="2"/>
        <v>1</v>
      </c>
      <c r="I10" s="8">
        <f t="shared" si="2"/>
        <v>0.8666666666666667</v>
      </c>
      <c r="J10" s="8">
        <f t="shared" si="2"/>
        <v>0.8666666666666667</v>
      </c>
      <c r="K10" s="8">
        <f t="shared" si="2"/>
        <v>0.88320545609548107</v>
      </c>
    </row>
    <row r="11" spans="1:11" x14ac:dyDescent="0.45">
      <c r="A11" s="23"/>
      <c r="B11" s="4" t="s">
        <v>17</v>
      </c>
      <c r="C11" s="8">
        <f>STDEV(C7:C9)</f>
        <v>61.733597263461554</v>
      </c>
      <c r="D11" s="8">
        <f t="shared" ref="D11:K11" si="3">STDEV(D7:D9)</f>
        <v>4.6188021535170067</v>
      </c>
      <c r="E11" s="12">
        <f t="shared" si="3"/>
        <v>2.405626121623464E-2</v>
      </c>
      <c r="F11" s="8">
        <f t="shared" si="3"/>
        <v>3.3763173636820409E-2</v>
      </c>
      <c r="G11" s="8">
        <f t="shared" si="3"/>
        <v>2.8867513459481249E-2</v>
      </c>
      <c r="H11" s="8">
        <f t="shared" si="3"/>
        <v>0</v>
      </c>
      <c r="I11" s="8">
        <f t="shared" si="3"/>
        <v>5.7735026918962568E-2</v>
      </c>
      <c r="J11" s="8">
        <f t="shared" si="3"/>
        <v>5.7735026918962568E-2</v>
      </c>
      <c r="K11" s="8">
        <f t="shared" si="3"/>
        <v>5.1680970387818347E-2</v>
      </c>
    </row>
    <row r="12" spans="1:11" x14ac:dyDescent="0.45">
      <c r="A12" s="23" t="s">
        <v>12</v>
      </c>
      <c r="B12" s="4">
        <v>1</v>
      </c>
      <c r="C12" s="2">
        <v>140.879885196685</v>
      </c>
      <c r="D12" s="26">
        <v>11987</v>
      </c>
      <c r="E12" s="18">
        <f>83.3333333333333/100</f>
        <v>0.83333333333333304</v>
      </c>
      <c r="F12" s="2">
        <v>0.77777777777777701</v>
      </c>
      <c r="G12" s="2">
        <v>0.81428571428571395</v>
      </c>
      <c r="H12" s="2">
        <v>0.875</v>
      </c>
      <c r="I12" s="2">
        <v>0.7</v>
      </c>
      <c r="J12" s="2">
        <v>0.7</v>
      </c>
      <c r="K12" s="2">
        <v>0.64705882352941102</v>
      </c>
    </row>
    <row r="13" spans="1:11" x14ac:dyDescent="0.45">
      <c r="A13" s="23"/>
      <c r="B13" s="4">
        <v>2</v>
      </c>
      <c r="C13" s="2">
        <v>110.994086742401</v>
      </c>
      <c r="D13" s="26">
        <v>12037</v>
      </c>
      <c r="E13" s="18">
        <f>83.3333333333333/100</f>
        <v>0.83333333333333304</v>
      </c>
      <c r="F13" s="2">
        <v>0.77777777777777701</v>
      </c>
      <c r="G13" s="2">
        <v>0.81428571428571395</v>
      </c>
      <c r="H13" s="2">
        <v>0.875</v>
      </c>
      <c r="I13" s="2">
        <v>0.7</v>
      </c>
      <c r="J13" s="2">
        <v>0.7</v>
      </c>
      <c r="K13" s="2">
        <v>0.64705882352941102</v>
      </c>
    </row>
    <row r="14" spans="1:11" x14ac:dyDescent="0.45">
      <c r="A14" s="23"/>
      <c r="B14" s="4">
        <v>3</v>
      </c>
      <c r="C14" s="2">
        <v>254.45321226119901</v>
      </c>
      <c r="D14" s="26">
        <v>12012</v>
      </c>
      <c r="E14" s="18">
        <f>79.1666666666666/100</f>
        <v>0.79166666666666596</v>
      </c>
      <c r="F14" s="2">
        <v>0.66666666666666596</v>
      </c>
      <c r="G14" s="2">
        <v>0.75</v>
      </c>
      <c r="H14" s="2">
        <v>1</v>
      </c>
      <c r="I14" s="2">
        <v>0.5</v>
      </c>
      <c r="J14" s="2">
        <v>0.5</v>
      </c>
      <c r="K14" s="2">
        <v>0.53846153846153799</v>
      </c>
    </row>
    <row r="15" spans="1:11" x14ac:dyDescent="0.45">
      <c r="A15" s="23"/>
      <c r="B15" s="4" t="s">
        <v>16</v>
      </c>
      <c r="C15" s="8">
        <f>AVERAGE(C12:C14)</f>
        <v>168.77572806676167</v>
      </c>
      <c r="D15" s="8">
        <f t="shared" ref="D15:K15" si="4">AVERAGE(D12:D14)</f>
        <v>12012</v>
      </c>
      <c r="E15" s="12">
        <f t="shared" si="4"/>
        <v>0.81944444444444409</v>
      </c>
      <c r="F15" s="8">
        <f t="shared" si="4"/>
        <v>0.74074074074074003</v>
      </c>
      <c r="G15" s="8">
        <f t="shared" si="4"/>
        <v>0.7928571428571427</v>
      </c>
      <c r="H15" s="8">
        <f t="shared" si="4"/>
        <v>0.91666666666666663</v>
      </c>
      <c r="I15" s="8">
        <f t="shared" si="4"/>
        <v>0.6333333333333333</v>
      </c>
      <c r="J15" s="8">
        <f t="shared" si="4"/>
        <v>0.6333333333333333</v>
      </c>
      <c r="K15" s="8">
        <f t="shared" si="4"/>
        <v>0.6108597285067866</v>
      </c>
    </row>
    <row r="16" spans="1:11" x14ac:dyDescent="0.45">
      <c r="A16" s="23"/>
      <c r="B16" s="4" t="s">
        <v>17</v>
      </c>
      <c r="C16" s="8">
        <f>STDEV(C12:C14)</f>
        <v>75.688596966310286</v>
      </c>
      <c r="D16" s="8">
        <f t="shared" ref="D16:K16" si="5">STDEV(D12:D14)</f>
        <v>25</v>
      </c>
      <c r="E16" s="12">
        <f t="shared" si="5"/>
        <v>2.405626121623464E-2</v>
      </c>
      <c r="F16" s="8">
        <f t="shared" si="5"/>
        <v>6.4150029909958384E-2</v>
      </c>
      <c r="G16" s="8">
        <f t="shared" si="5"/>
        <v>3.7115374447904317E-2</v>
      </c>
      <c r="H16" s="8">
        <f t="shared" si="5"/>
        <v>7.216878364870323E-2</v>
      </c>
      <c r="I16" s="8">
        <f t="shared" si="5"/>
        <v>0.11547005383792504</v>
      </c>
      <c r="J16" s="8">
        <f t="shared" si="5"/>
        <v>0.11547005383792504</v>
      </c>
      <c r="K16" s="8">
        <f t="shared" si="5"/>
        <v>6.2698671767199024E-2</v>
      </c>
    </row>
    <row r="17" spans="1:11" x14ac:dyDescent="0.45">
      <c r="A17" s="23" t="s">
        <v>15</v>
      </c>
      <c r="B17" s="4">
        <v>1</v>
      </c>
      <c r="C17" s="2">
        <v>177.70377588272001</v>
      </c>
      <c r="D17" s="26">
        <v>11788</v>
      </c>
      <c r="E17" s="18">
        <f>70.8333333333333/100</f>
        <v>0.70833333333333304</v>
      </c>
      <c r="F17" s="2">
        <v>0.46153846153846101</v>
      </c>
      <c r="G17" s="2">
        <v>0.65</v>
      </c>
      <c r="H17" s="2">
        <v>1</v>
      </c>
      <c r="I17" s="2">
        <v>0.3</v>
      </c>
      <c r="J17" s="2">
        <v>0.3</v>
      </c>
      <c r="K17" s="2">
        <v>0.33333333333333298</v>
      </c>
    </row>
    <row r="18" spans="1:11" x14ac:dyDescent="0.45">
      <c r="A18" s="23"/>
      <c r="B18" s="4">
        <v>2</v>
      </c>
      <c r="C18" s="2">
        <v>351.59530639648398</v>
      </c>
      <c r="D18" s="26">
        <v>11611</v>
      </c>
      <c r="E18" s="18">
        <f>70.8333333333333/100</f>
        <v>0.70833333333333304</v>
      </c>
      <c r="F18" s="2">
        <v>0.46153846153846101</v>
      </c>
      <c r="G18" s="2">
        <v>0.65</v>
      </c>
      <c r="H18" s="2">
        <v>1</v>
      </c>
      <c r="I18" s="2">
        <v>0.3</v>
      </c>
      <c r="J18" s="2">
        <v>0.3</v>
      </c>
      <c r="K18" s="2">
        <v>0.33333333333333298</v>
      </c>
    </row>
    <row r="19" spans="1:11" x14ac:dyDescent="0.45">
      <c r="A19" s="23"/>
      <c r="B19" s="4">
        <v>3</v>
      </c>
      <c r="C19" s="2">
        <v>280.96326518058697</v>
      </c>
      <c r="D19" s="26">
        <v>11689</v>
      </c>
      <c r="E19" s="18">
        <f>70.8333333333333/100</f>
        <v>0.70833333333333304</v>
      </c>
      <c r="F19" s="2">
        <v>0.46153846153846101</v>
      </c>
      <c r="G19" s="2">
        <v>0.65</v>
      </c>
      <c r="H19" s="2">
        <v>1</v>
      </c>
      <c r="I19" s="2">
        <v>0.3</v>
      </c>
      <c r="J19" s="2">
        <v>0.3</v>
      </c>
      <c r="K19" s="2">
        <v>0.33333333333333298</v>
      </c>
    </row>
    <row r="20" spans="1:11" x14ac:dyDescent="0.45">
      <c r="A20" s="23"/>
      <c r="B20" s="4" t="s">
        <v>16</v>
      </c>
      <c r="C20" s="8">
        <f>AVERAGE(C17:C19)</f>
        <v>270.08744915326366</v>
      </c>
      <c r="D20" s="8">
        <f t="shared" ref="D20:K20" si="6">AVERAGE(D17:D19)</f>
        <v>11696</v>
      </c>
      <c r="E20" s="12">
        <f t="shared" si="6"/>
        <v>0.70833333333333304</v>
      </c>
      <c r="F20" s="8">
        <f t="shared" si="6"/>
        <v>0.46153846153846101</v>
      </c>
      <c r="G20" s="8">
        <f t="shared" si="6"/>
        <v>0.65</v>
      </c>
      <c r="H20" s="8">
        <f t="shared" si="6"/>
        <v>1</v>
      </c>
      <c r="I20" s="8">
        <f t="shared" si="6"/>
        <v>0.3</v>
      </c>
      <c r="J20" s="8">
        <f t="shared" si="6"/>
        <v>0.3</v>
      </c>
      <c r="K20" s="8">
        <f t="shared" si="6"/>
        <v>0.33333333333333298</v>
      </c>
    </row>
    <row r="21" spans="1:11" x14ac:dyDescent="0.45">
      <c r="A21" s="23"/>
      <c r="B21" s="4" t="s">
        <v>17</v>
      </c>
      <c r="C21" s="8">
        <f>STDEV(C17:C19)</f>
        <v>87.454437433442976</v>
      </c>
      <c r="D21" s="8">
        <f t="shared" ref="D21:K21" si="7">STDEV(D17:D19)</f>
        <v>88.707384134580366</v>
      </c>
      <c r="E21" s="12">
        <f t="shared" si="7"/>
        <v>0</v>
      </c>
      <c r="F21" s="8">
        <f t="shared" si="7"/>
        <v>0</v>
      </c>
      <c r="G21" s="8">
        <f t="shared" si="7"/>
        <v>0</v>
      </c>
      <c r="H21" s="8">
        <f t="shared" si="7"/>
        <v>0</v>
      </c>
      <c r="I21" s="8">
        <f t="shared" si="7"/>
        <v>0</v>
      </c>
      <c r="J21" s="8">
        <f t="shared" si="7"/>
        <v>0</v>
      </c>
      <c r="K21" s="8">
        <f t="shared" si="7"/>
        <v>0</v>
      </c>
    </row>
    <row r="22" spans="1:11" x14ac:dyDescent="0.45">
      <c r="A22" s="22" t="s">
        <v>27</v>
      </c>
      <c r="B22" s="4">
        <v>1</v>
      </c>
      <c r="C22" s="10">
        <v>113.76952910423201</v>
      </c>
      <c r="D22" s="25">
        <v>12232</v>
      </c>
      <c r="E22" s="10">
        <f>0.833333333333333</f>
        <v>0.83333333333333304</v>
      </c>
      <c r="F22" s="10">
        <v>0.75</v>
      </c>
      <c r="G22" s="10">
        <v>0.8</v>
      </c>
      <c r="H22" s="10">
        <v>1</v>
      </c>
      <c r="I22" s="10">
        <v>0.6</v>
      </c>
      <c r="J22" s="10">
        <v>0.6</v>
      </c>
      <c r="K22" s="10">
        <v>0.63636363636363602</v>
      </c>
    </row>
    <row r="23" spans="1:11" x14ac:dyDescent="0.45">
      <c r="A23" s="22"/>
      <c r="B23" s="4">
        <v>2</v>
      </c>
      <c r="C23" s="10">
        <v>111.44678330421399</v>
      </c>
      <c r="D23" s="25">
        <v>12203</v>
      </c>
      <c r="E23" s="10">
        <f>0.833333333333333</f>
        <v>0.83333333333333304</v>
      </c>
      <c r="F23" s="10">
        <v>0.75</v>
      </c>
      <c r="G23" s="10">
        <v>0.8</v>
      </c>
      <c r="H23" s="10">
        <v>1</v>
      </c>
      <c r="I23" s="10">
        <v>0.6</v>
      </c>
      <c r="J23" s="10">
        <v>0.6</v>
      </c>
      <c r="K23" s="10">
        <v>0.63636363636363602</v>
      </c>
    </row>
    <row r="24" spans="1:11" x14ac:dyDescent="0.45">
      <c r="A24" s="22"/>
      <c r="B24" s="4">
        <v>3</v>
      </c>
      <c r="C24" s="10">
        <v>115.049820184707</v>
      </c>
      <c r="D24" s="25">
        <v>12161</v>
      </c>
      <c r="E24" s="10">
        <f>0.833333333333333</f>
        <v>0.83333333333333304</v>
      </c>
      <c r="F24" s="10">
        <v>0.75</v>
      </c>
      <c r="G24" s="10">
        <v>0.8</v>
      </c>
      <c r="H24" s="10">
        <v>1</v>
      </c>
      <c r="I24" s="10">
        <v>0.6</v>
      </c>
      <c r="J24" s="10">
        <v>0.6</v>
      </c>
      <c r="K24" s="10">
        <v>0.63636363636363602</v>
      </c>
    </row>
    <row r="25" spans="1:11" x14ac:dyDescent="0.45">
      <c r="A25" s="22"/>
      <c r="B25" s="4" t="s">
        <v>16</v>
      </c>
      <c r="C25" s="3">
        <f>AVERAGE(C22:C24)</f>
        <v>113.42204419771768</v>
      </c>
      <c r="D25" s="3">
        <f t="shared" ref="D25:K25" si="8">AVERAGE(D22:D24)</f>
        <v>12198.666666666666</v>
      </c>
      <c r="E25" s="3">
        <f t="shared" si="8"/>
        <v>0.83333333333333304</v>
      </c>
      <c r="F25" s="3">
        <f t="shared" si="8"/>
        <v>0.75</v>
      </c>
      <c r="G25" s="3">
        <f t="shared" si="8"/>
        <v>0.80000000000000016</v>
      </c>
      <c r="H25" s="3">
        <f t="shared" si="8"/>
        <v>1</v>
      </c>
      <c r="I25" s="3">
        <f t="shared" si="8"/>
        <v>0.6</v>
      </c>
      <c r="J25" s="3">
        <f t="shared" si="8"/>
        <v>0.6</v>
      </c>
      <c r="K25" s="3">
        <f t="shared" si="8"/>
        <v>0.63636363636363602</v>
      </c>
    </row>
    <row r="26" spans="1:11" x14ac:dyDescent="0.45">
      <c r="A26" s="22"/>
      <c r="B26" s="4" t="s">
        <v>17</v>
      </c>
      <c r="C26" s="3">
        <f>STDEV(C22:C24)</f>
        <v>1.8264796770672416</v>
      </c>
      <c r="D26" s="3">
        <f t="shared" ref="D26:K26" si="9">STDEV(D22:D24)</f>
        <v>35.697805721547276</v>
      </c>
      <c r="E26" s="3">
        <f t="shared" si="9"/>
        <v>0</v>
      </c>
      <c r="F26" s="3">
        <f t="shared" si="9"/>
        <v>0</v>
      </c>
      <c r="G26" s="3">
        <f t="shared" si="9"/>
        <v>1.3597399555105182E-16</v>
      </c>
      <c r="H26" s="3">
        <f t="shared" si="9"/>
        <v>0</v>
      </c>
      <c r="I26" s="3">
        <f t="shared" si="9"/>
        <v>0</v>
      </c>
      <c r="J26" s="3">
        <f t="shared" si="9"/>
        <v>0</v>
      </c>
      <c r="K26" s="3">
        <f t="shared" si="9"/>
        <v>0</v>
      </c>
    </row>
    <row r="27" spans="1:11" x14ac:dyDescent="0.45">
      <c r="A27" s="21" t="s">
        <v>28</v>
      </c>
      <c r="B27" s="4">
        <v>1</v>
      </c>
      <c r="C27" s="10">
        <v>25.289698839187601</v>
      </c>
      <c r="D27" s="25">
        <v>29</v>
      </c>
      <c r="E27" s="10">
        <f>0.958333333333333</f>
        <v>0.95833333333333304</v>
      </c>
      <c r="F27" s="10">
        <v>0.94736842105263097</v>
      </c>
      <c r="G27" s="10">
        <v>0.95</v>
      </c>
      <c r="H27" s="10">
        <v>1</v>
      </c>
      <c r="I27" s="10">
        <v>0.9</v>
      </c>
      <c r="J27" s="10">
        <v>0.9</v>
      </c>
      <c r="K27" s="10">
        <v>0.91304347826086896</v>
      </c>
    </row>
    <row r="28" spans="1:11" x14ac:dyDescent="0.45">
      <c r="A28" s="21"/>
      <c r="B28" s="4">
        <v>2</v>
      </c>
      <c r="C28" s="10">
        <v>44.7945041656494</v>
      </c>
      <c r="D28" s="25">
        <v>124</v>
      </c>
      <c r="E28" s="10">
        <f>0.958333333333333</f>
        <v>0.95833333333333304</v>
      </c>
      <c r="F28" s="10">
        <v>0.94736842105263097</v>
      </c>
      <c r="G28" s="10">
        <v>0.95</v>
      </c>
      <c r="H28" s="10">
        <v>1</v>
      </c>
      <c r="I28" s="10">
        <v>0.9</v>
      </c>
      <c r="J28" s="10">
        <v>0.9</v>
      </c>
      <c r="K28" s="10">
        <v>0.91304347826086896</v>
      </c>
    </row>
    <row r="29" spans="1:11" x14ac:dyDescent="0.45">
      <c r="A29" s="21"/>
      <c r="B29" s="4">
        <v>3</v>
      </c>
      <c r="C29" s="10">
        <v>56.532799005508402</v>
      </c>
      <c r="D29" s="25">
        <v>108</v>
      </c>
      <c r="E29" s="10">
        <f>0.958333333333333</f>
        <v>0.95833333333333304</v>
      </c>
      <c r="F29" s="10">
        <v>0.94736842105263097</v>
      </c>
      <c r="G29" s="10">
        <v>0.95</v>
      </c>
      <c r="H29" s="10">
        <v>1</v>
      </c>
      <c r="I29" s="10">
        <v>0.9</v>
      </c>
      <c r="J29" s="10">
        <v>0.9</v>
      </c>
      <c r="K29" s="10">
        <v>0.91304347826086896</v>
      </c>
    </row>
    <row r="30" spans="1:11" x14ac:dyDescent="0.45">
      <c r="A30" s="21"/>
      <c r="B30" s="19" t="s">
        <v>16</v>
      </c>
      <c r="C30" s="3">
        <f>AVERAGE(C27:C29)</f>
        <v>42.205667336781801</v>
      </c>
      <c r="D30" s="3">
        <f t="shared" ref="D30:K30" si="10">AVERAGE(D27:D29)</f>
        <v>87</v>
      </c>
      <c r="E30" s="13">
        <f t="shared" si="10"/>
        <v>0.95833333333333304</v>
      </c>
      <c r="F30" s="3">
        <f t="shared" si="10"/>
        <v>0.94736842105263097</v>
      </c>
      <c r="G30" s="3">
        <f t="shared" si="10"/>
        <v>0.94999999999999984</v>
      </c>
      <c r="H30" s="3">
        <f t="shared" si="10"/>
        <v>1</v>
      </c>
      <c r="I30" s="3">
        <f t="shared" si="10"/>
        <v>0.9</v>
      </c>
      <c r="J30" s="3">
        <f t="shared" si="10"/>
        <v>0.9</v>
      </c>
      <c r="K30" s="3">
        <f t="shared" si="10"/>
        <v>0.91304347826086885</v>
      </c>
    </row>
    <row r="31" spans="1:11" x14ac:dyDescent="0.45">
      <c r="A31" s="21"/>
      <c r="B31" s="19" t="s">
        <v>17</v>
      </c>
      <c r="C31" s="3">
        <f>STDEV(C27:C29)</f>
        <v>15.78161538295636</v>
      </c>
      <c r="D31" s="3">
        <f t="shared" ref="D31:K31" si="11">STDEV(D27:D29)</f>
        <v>50.862559904118079</v>
      </c>
      <c r="E31" s="13">
        <f t="shared" si="11"/>
        <v>0</v>
      </c>
      <c r="F31" s="3">
        <f t="shared" si="11"/>
        <v>0</v>
      </c>
      <c r="G31" s="3">
        <f t="shared" si="11"/>
        <v>1.3597399555105182E-16</v>
      </c>
      <c r="H31" s="3">
        <f t="shared" si="11"/>
        <v>0</v>
      </c>
      <c r="I31" s="3">
        <f t="shared" si="11"/>
        <v>0</v>
      </c>
      <c r="J31" s="3">
        <f t="shared" si="11"/>
        <v>0</v>
      </c>
      <c r="K31" s="3">
        <f t="shared" si="11"/>
        <v>1.3597399555105182E-16</v>
      </c>
    </row>
    <row r="32" spans="1:11" x14ac:dyDescent="0.45">
      <c r="E32"/>
    </row>
    <row r="33" spans="5:5" x14ac:dyDescent="0.45">
      <c r="E33"/>
    </row>
    <row r="34" spans="5:5" x14ac:dyDescent="0.45">
      <c r="E34"/>
    </row>
    <row r="35" spans="5:5" x14ac:dyDescent="0.45">
      <c r="E35"/>
    </row>
    <row r="36" spans="5:5" x14ac:dyDescent="0.45">
      <c r="E36"/>
    </row>
    <row r="37" spans="5:5" x14ac:dyDescent="0.45">
      <c r="E37"/>
    </row>
    <row r="38" spans="5:5" x14ac:dyDescent="0.45">
      <c r="E38"/>
    </row>
    <row r="39" spans="5:5" x14ac:dyDescent="0.45">
      <c r="E39"/>
    </row>
    <row r="40" spans="5:5" x14ac:dyDescent="0.45">
      <c r="E40"/>
    </row>
    <row r="41" spans="5:5" x14ac:dyDescent="0.45">
      <c r="E41"/>
    </row>
    <row r="42" spans="5:5" x14ac:dyDescent="0.45">
      <c r="E42"/>
    </row>
    <row r="43" spans="5:5" x14ac:dyDescent="0.45">
      <c r="E43"/>
    </row>
    <row r="44" spans="5:5" x14ac:dyDescent="0.45">
      <c r="E44"/>
    </row>
    <row r="45" spans="5:5" x14ac:dyDescent="0.45">
      <c r="E45"/>
    </row>
    <row r="46" spans="5:5" x14ac:dyDescent="0.45">
      <c r="E46"/>
    </row>
    <row r="47" spans="5:5" x14ac:dyDescent="0.45">
      <c r="E47"/>
    </row>
    <row r="48" spans="5:5" x14ac:dyDescent="0.45">
      <c r="E48"/>
    </row>
    <row r="49" spans="5:5" x14ac:dyDescent="0.45">
      <c r="E49"/>
    </row>
    <row r="50" spans="5:5" x14ac:dyDescent="0.45">
      <c r="E50"/>
    </row>
    <row r="51" spans="5:5" x14ac:dyDescent="0.45">
      <c r="E51"/>
    </row>
    <row r="52" spans="5:5" x14ac:dyDescent="0.45">
      <c r="E52"/>
    </row>
  </sheetData>
  <mergeCells count="6">
    <mergeCell ref="A27:A31"/>
    <mergeCell ref="A2:A6"/>
    <mergeCell ref="A7:A11"/>
    <mergeCell ref="A12:A16"/>
    <mergeCell ref="A17:A21"/>
    <mergeCell ref="A22:A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DABB2-9302-4C2A-B6F6-7F5826936B3B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GSE132903</vt:lpstr>
      <vt:lpstr>GSE118553</vt:lpstr>
      <vt:lpstr>Sheet1</vt:lpstr>
      <vt:lpstr>GSE48350</vt:lpstr>
      <vt:lpstr>GSE36980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 Mohamed</dc:creator>
  <cp:lastModifiedBy>Dr. Marwa Fikry</cp:lastModifiedBy>
  <dcterms:created xsi:type="dcterms:W3CDTF">2015-06-05T18:17:20Z</dcterms:created>
  <dcterms:modified xsi:type="dcterms:W3CDTF">2025-12-19T05:20:40Z</dcterms:modified>
</cp:coreProperties>
</file>